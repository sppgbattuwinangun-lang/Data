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lfiansah/Downloads/Total Akumulasi September - Desember 2025/Total Akumulasi 01 Sep 2025 s:"/>
    </mc:Choice>
  </mc:AlternateContent>
  <xr:revisionPtr revIDLastSave="0" documentId="13_ncr:1_{BFD6EEF7-AE3F-0241-816F-27E3397DCDB2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Dashboard" sheetId="1" r:id="rId1"/>
    <sheet name="Rekap Harian" sheetId="2" r:id="rId2"/>
    <sheet name="Rekap Mingguan" sheetId="3" r:id="rId3"/>
    <sheet name="Grafik" sheetId="4" r:id="rId4"/>
    <sheet name="Pengaturan" sheetId="5" r:id="rId5"/>
    <sheet name="Pagu Harian" sheetId="6" r:id="rId6"/>
    <sheet name="Kategor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8UCyqS1q+0lR0NlKV/9byX07goF6oAS1Rk06Iv6fBGQ="/>
    </ext>
  </extLst>
</workbook>
</file>

<file path=xl/calcChain.xml><?xml version="1.0" encoding="utf-8"?>
<calcChain xmlns="http://schemas.openxmlformats.org/spreadsheetml/2006/main">
  <c r="D34" i="6" l="1"/>
  <c r="A34" i="6"/>
  <c r="C34" i="6" s="1"/>
  <c r="D33" i="6"/>
  <c r="C33" i="6"/>
  <c r="A33" i="6"/>
  <c r="B33" i="6" s="1"/>
  <c r="B32" i="6"/>
  <c r="A32" i="6"/>
  <c r="D32" i="6" s="1"/>
  <c r="C31" i="6"/>
  <c r="A31" i="6"/>
  <c r="D31" i="6" s="1"/>
  <c r="D30" i="6"/>
  <c r="C30" i="6"/>
  <c r="A30" i="6"/>
  <c r="B30" i="6" s="1"/>
  <c r="D29" i="6"/>
  <c r="A29" i="6"/>
  <c r="C29" i="6" s="1"/>
  <c r="D28" i="6"/>
  <c r="C28" i="6"/>
  <c r="A28" i="6"/>
  <c r="B28" i="6" s="1"/>
  <c r="B27" i="6"/>
  <c r="A27" i="6"/>
  <c r="D27" i="6" s="1"/>
  <c r="C26" i="6"/>
  <c r="A26" i="6"/>
  <c r="D26" i="6" s="1"/>
  <c r="D25" i="6"/>
  <c r="C25" i="6"/>
  <c r="A25" i="6"/>
  <c r="B25" i="6" s="1"/>
  <c r="D24" i="6"/>
  <c r="A24" i="6"/>
  <c r="C24" i="6" s="1"/>
  <c r="D23" i="6"/>
  <c r="C23" i="6"/>
  <c r="A23" i="6"/>
  <c r="B23" i="6" s="1"/>
  <c r="B22" i="6"/>
  <c r="A22" i="6"/>
  <c r="D22" i="6" s="1"/>
  <c r="C21" i="6"/>
  <c r="A21" i="6"/>
  <c r="D21" i="6" s="1"/>
  <c r="D20" i="6"/>
  <c r="C20" i="6"/>
  <c r="A20" i="6"/>
  <c r="B20" i="6" s="1"/>
  <c r="D19" i="6"/>
  <c r="A19" i="6"/>
  <c r="C19" i="6" s="1"/>
  <c r="D18" i="6"/>
  <c r="C18" i="6"/>
  <c r="A18" i="6"/>
  <c r="B18" i="6" s="1"/>
  <c r="B17" i="6"/>
  <c r="A17" i="6"/>
  <c r="D17" i="6" s="1"/>
  <c r="C16" i="6"/>
  <c r="A16" i="6"/>
  <c r="D16" i="6" s="1"/>
  <c r="A15" i="6"/>
  <c r="D15" i="6" s="1"/>
  <c r="A14" i="6"/>
  <c r="D14" i="6" s="1"/>
  <c r="D13" i="6"/>
  <c r="A13" i="6"/>
  <c r="A12" i="6"/>
  <c r="D12" i="6" s="1"/>
  <c r="A11" i="6"/>
  <c r="D11" i="6" s="1"/>
  <c r="A10" i="6"/>
  <c r="D10" i="6" s="1"/>
  <c r="A9" i="6"/>
  <c r="D9" i="6" s="1"/>
  <c r="D8" i="6"/>
  <c r="A8" i="6"/>
  <c r="A7" i="6"/>
  <c r="D7" i="6" s="1"/>
  <c r="A6" i="6"/>
  <c r="D6" i="6" s="1"/>
  <c r="A5" i="6"/>
  <c r="D5" i="6" s="1"/>
  <c r="A4" i="6"/>
  <c r="D4" i="6" s="1"/>
  <c r="D36" i="6" s="1"/>
  <c r="B21" i="5"/>
  <c r="B15" i="5"/>
  <c r="B9" i="5"/>
  <c r="B88" i="4" s="1"/>
  <c r="B5" i="5"/>
  <c r="C87" i="4"/>
  <c r="B87" i="4"/>
  <c r="B82" i="4"/>
  <c r="A75" i="4"/>
  <c r="A74" i="4"/>
  <c r="A64" i="4"/>
  <c r="A54" i="4"/>
  <c r="C46" i="4"/>
  <c r="B46" i="4"/>
  <c r="C45" i="4"/>
  <c r="B45" i="4"/>
  <c r="C44" i="4"/>
  <c r="B44" i="4"/>
  <c r="D36" i="4"/>
  <c r="B36" i="4"/>
  <c r="D35" i="4"/>
  <c r="B35" i="4"/>
  <c r="D34" i="4"/>
  <c r="B34" i="4"/>
  <c r="D33" i="4"/>
  <c r="B33" i="4"/>
  <c r="D32" i="4"/>
  <c r="B32" i="4"/>
  <c r="D31" i="4"/>
  <c r="B31" i="4"/>
  <c r="D30" i="4"/>
  <c r="B30" i="4"/>
  <c r="D29" i="4"/>
  <c r="B29" i="4"/>
  <c r="D28" i="4"/>
  <c r="B28" i="4"/>
  <c r="D27" i="4"/>
  <c r="B27" i="4"/>
  <c r="D26" i="4"/>
  <c r="B26" i="4"/>
  <c r="D25" i="4"/>
  <c r="B25" i="4"/>
  <c r="D24" i="4"/>
  <c r="B24" i="4"/>
  <c r="D23" i="4"/>
  <c r="B23" i="4"/>
  <c r="D22" i="4"/>
  <c r="B22" i="4"/>
  <c r="D21" i="4"/>
  <c r="B21" i="4"/>
  <c r="D20" i="4"/>
  <c r="B20" i="4"/>
  <c r="D19" i="4"/>
  <c r="B19" i="4"/>
  <c r="D18" i="4"/>
  <c r="B18" i="4"/>
  <c r="B17" i="4"/>
  <c r="D16" i="4"/>
  <c r="B16" i="4"/>
  <c r="D15" i="4"/>
  <c r="B15" i="4"/>
  <c r="D14" i="4"/>
  <c r="B14" i="4"/>
  <c r="D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B9" i="4"/>
  <c r="D8" i="4"/>
  <c r="B8" i="4"/>
  <c r="D7" i="4"/>
  <c r="B7" i="4"/>
  <c r="B6" i="4"/>
  <c r="B8" i="3"/>
  <c r="B7" i="3"/>
  <c r="B6" i="3"/>
  <c r="B5" i="3"/>
  <c r="B4" i="3"/>
  <c r="F39" i="2"/>
  <c r="F38" i="2"/>
  <c r="L36" i="2"/>
  <c r="B36" i="2"/>
  <c r="A36" i="4" s="1"/>
  <c r="L35" i="2"/>
  <c r="C35" i="2"/>
  <c r="B35" i="2"/>
  <c r="G35" i="2" s="1"/>
  <c r="L34" i="2"/>
  <c r="D34" i="2"/>
  <c r="C34" i="2"/>
  <c r="B34" i="2"/>
  <c r="A34" i="4" s="1"/>
  <c r="L33" i="2"/>
  <c r="G33" i="2"/>
  <c r="D33" i="2"/>
  <c r="C33" i="2"/>
  <c r="B33" i="2"/>
  <c r="J33" i="2" s="1"/>
  <c r="L32" i="2"/>
  <c r="J32" i="2"/>
  <c r="H32" i="2"/>
  <c r="E32" i="4" s="1"/>
  <c r="G32" i="2"/>
  <c r="D32" i="2"/>
  <c r="C32" i="2"/>
  <c r="B32" i="2"/>
  <c r="A32" i="4" s="1"/>
  <c r="L31" i="2"/>
  <c r="J31" i="2"/>
  <c r="H31" i="2"/>
  <c r="E31" i="4" s="1"/>
  <c r="G31" i="2"/>
  <c r="B31" i="2"/>
  <c r="A65" i="4" s="1"/>
  <c r="L30" i="2"/>
  <c r="J30" i="2"/>
  <c r="H30" i="2"/>
  <c r="E30" i="4" s="1"/>
  <c r="G30" i="2"/>
  <c r="C30" i="2"/>
  <c r="B30" i="2"/>
  <c r="A30" i="4" s="1"/>
  <c r="L29" i="2"/>
  <c r="J29" i="2"/>
  <c r="H29" i="2"/>
  <c r="E29" i="4" s="1"/>
  <c r="G29" i="2"/>
  <c r="D29" i="2"/>
  <c r="B29" i="2"/>
  <c r="N29" i="2" s="1"/>
  <c r="L28" i="2"/>
  <c r="J28" i="2"/>
  <c r="H28" i="2"/>
  <c r="E28" i="4" s="1"/>
  <c r="D28" i="2"/>
  <c r="C28" i="2"/>
  <c r="B28" i="2"/>
  <c r="A28" i="4" s="1"/>
  <c r="L27" i="2"/>
  <c r="J27" i="2"/>
  <c r="G27" i="2"/>
  <c r="B27" i="2"/>
  <c r="D27" i="2" s="1"/>
  <c r="L26" i="2"/>
  <c r="B26" i="2"/>
  <c r="A26" i="4" s="1"/>
  <c r="L25" i="2"/>
  <c r="B25" i="2"/>
  <c r="G25" i="2" s="1"/>
  <c r="L24" i="2"/>
  <c r="B24" i="2"/>
  <c r="L23" i="2"/>
  <c r="D23" i="2"/>
  <c r="C23" i="2"/>
  <c r="B23" i="2"/>
  <c r="J23" i="2" s="1"/>
  <c r="L22" i="2"/>
  <c r="J22" i="2"/>
  <c r="H22" i="2"/>
  <c r="E22" i="4" s="1"/>
  <c r="G22" i="2"/>
  <c r="D22" i="2"/>
  <c r="C22" i="2"/>
  <c r="B22" i="2"/>
  <c r="A22" i="4" s="1"/>
  <c r="L21" i="2"/>
  <c r="J21" i="2"/>
  <c r="H21" i="2"/>
  <c r="E21" i="4" s="1"/>
  <c r="G21" i="2"/>
  <c r="D21" i="2"/>
  <c r="B21" i="2"/>
  <c r="A55" i="4" s="1"/>
  <c r="L20" i="2"/>
  <c r="J20" i="2"/>
  <c r="H20" i="2"/>
  <c r="E20" i="4" s="1"/>
  <c r="G20" i="2"/>
  <c r="C20" i="2"/>
  <c r="B20" i="2"/>
  <c r="A20" i="4" s="1"/>
  <c r="L19" i="2"/>
  <c r="J19" i="2"/>
  <c r="H19" i="2"/>
  <c r="E19" i="4" s="1"/>
  <c r="G19" i="2"/>
  <c r="D19" i="2"/>
  <c r="B19" i="2"/>
  <c r="N19" i="2" s="1"/>
  <c r="L18" i="2"/>
  <c r="J18" i="2"/>
  <c r="H18" i="2"/>
  <c r="E18" i="4" s="1"/>
  <c r="D18" i="2"/>
  <c r="C18" i="2"/>
  <c r="B18" i="2"/>
  <c r="A18" i="4" s="1"/>
  <c r="L17" i="2"/>
  <c r="I17" i="2"/>
  <c r="D17" i="4" s="1"/>
  <c r="B17" i="2"/>
  <c r="L16" i="2"/>
  <c r="B16" i="2"/>
  <c r="L15" i="2"/>
  <c r="B15" i="2"/>
  <c r="L14" i="2"/>
  <c r="E14" i="2"/>
  <c r="D14" i="2"/>
  <c r="C14" i="2"/>
  <c r="B14" i="2"/>
  <c r="A14" i="4" s="1"/>
  <c r="L13" i="2"/>
  <c r="H13" i="2"/>
  <c r="E13" i="4" s="1"/>
  <c r="E13" i="2"/>
  <c r="D13" i="2"/>
  <c r="C13" i="2"/>
  <c r="B13" i="2"/>
  <c r="A47" i="4" s="1"/>
  <c r="L12" i="2"/>
  <c r="B12" i="2"/>
  <c r="A12" i="4" s="1"/>
  <c r="N11" i="2"/>
  <c r="L11" i="2"/>
  <c r="D11" i="2"/>
  <c r="C11" i="2"/>
  <c r="B11" i="2"/>
  <c r="A45" i="4" s="1"/>
  <c r="L10" i="2"/>
  <c r="B10" i="2"/>
  <c r="A10" i="4" s="1"/>
  <c r="L9" i="2"/>
  <c r="I9" i="2"/>
  <c r="D9" i="4" s="1"/>
  <c r="C9" i="2"/>
  <c r="B9" i="2"/>
  <c r="L8" i="2"/>
  <c r="D8" i="2"/>
  <c r="B8" i="2"/>
  <c r="L7" i="2"/>
  <c r="B7" i="2"/>
  <c r="I6" i="2"/>
  <c r="H6" i="2"/>
  <c r="E6" i="2"/>
  <c r="D6" i="2"/>
  <c r="B6" i="2"/>
  <c r="A6" i="4" s="1"/>
  <c r="A76" i="4" s="1"/>
  <c r="B3" i="2"/>
  <c r="B49" i="1"/>
  <c r="B35" i="1"/>
  <c r="B24" i="1"/>
  <c r="B19" i="1" s="1"/>
  <c r="B23" i="1"/>
  <c r="B20" i="1"/>
  <c r="B14" i="1"/>
  <c r="B9" i="1" s="1"/>
  <c r="B13" i="1"/>
  <c r="B10" i="1"/>
  <c r="B11" i="1" s="1"/>
  <c r="B6" i="1"/>
  <c r="B3" i="1"/>
  <c r="B16" i="1" l="1"/>
  <c r="D87" i="4"/>
  <c r="C14" i="4"/>
  <c r="G7" i="2"/>
  <c r="H7" i="2"/>
  <c r="E7" i="4" s="1"/>
  <c r="A41" i="4"/>
  <c r="A7" i="4"/>
  <c r="A77" i="4" s="1"/>
  <c r="H15" i="2"/>
  <c r="E15" i="4" s="1"/>
  <c r="E15" i="2"/>
  <c r="A15" i="4"/>
  <c r="A49" i="4"/>
  <c r="E17" i="2"/>
  <c r="C17" i="2"/>
  <c r="D17" i="2"/>
  <c r="A51" i="4"/>
  <c r="A17" i="4"/>
  <c r="H17" i="2"/>
  <c r="E17" i="4" s="1"/>
  <c r="C7" i="2"/>
  <c r="K13" i="2"/>
  <c r="M13" i="2" s="1"/>
  <c r="C13" i="4"/>
  <c r="C15" i="2"/>
  <c r="B26" i="1"/>
  <c r="D7" i="2"/>
  <c r="C7" i="3" s="1"/>
  <c r="G9" i="2"/>
  <c r="E9" i="2"/>
  <c r="D9" i="2"/>
  <c r="A9" i="4"/>
  <c r="A43" i="4"/>
  <c r="H9" i="2"/>
  <c r="E9" i="4" s="1"/>
  <c r="G13" i="2"/>
  <c r="D15" i="2"/>
  <c r="B29" i="1"/>
  <c r="A24" i="4"/>
  <c r="H24" i="2"/>
  <c r="E24" i="4" s="1"/>
  <c r="A58" i="4"/>
  <c r="G24" i="2"/>
  <c r="D24" i="2"/>
  <c r="J24" i="2"/>
  <c r="B34" i="1"/>
  <c r="B36" i="1" s="1"/>
  <c r="B30" i="1"/>
  <c r="O5" i="1" s="1"/>
  <c r="B15" i="1"/>
  <c r="A16" i="4"/>
  <c r="E16" i="2"/>
  <c r="D16" i="2"/>
  <c r="A50" i="4"/>
  <c r="J16" i="2"/>
  <c r="H16" i="2"/>
  <c r="E16" i="4" s="1"/>
  <c r="C36" i="6"/>
  <c r="B25" i="1"/>
  <c r="E7" i="2"/>
  <c r="C24" i="2"/>
  <c r="K6" i="2"/>
  <c r="C6" i="4"/>
  <c r="A8" i="4"/>
  <c r="A78" i="4" s="1"/>
  <c r="H8" i="2"/>
  <c r="E8" i="4" s="1"/>
  <c r="E8" i="2"/>
  <c r="A42" i="4"/>
  <c r="C16" i="2"/>
  <c r="N24" i="2"/>
  <c r="B21" i="1"/>
  <c r="E6" i="4"/>
  <c r="G6" i="2"/>
  <c r="C8" i="2"/>
  <c r="D88" i="4"/>
  <c r="L6" i="2"/>
  <c r="C19" i="2"/>
  <c r="N20" i="2"/>
  <c r="H25" i="2"/>
  <c r="E25" i="4" s="1"/>
  <c r="G26" i="2"/>
  <c r="C29" i="2"/>
  <c r="N30" i="2"/>
  <c r="J34" i="2"/>
  <c r="H35" i="2"/>
  <c r="E35" i="4" s="1"/>
  <c r="G36" i="2"/>
  <c r="I39" i="2"/>
  <c r="A52" i="4"/>
  <c r="A62" i="4"/>
  <c r="C88" i="4"/>
  <c r="N10" i="2"/>
  <c r="N12" i="2"/>
  <c r="N21" i="2"/>
  <c r="J25" i="2"/>
  <c r="H26" i="2"/>
  <c r="E26" i="4" s="1"/>
  <c r="N31" i="2"/>
  <c r="J35" i="2"/>
  <c r="H36" i="2"/>
  <c r="E36" i="4" s="1"/>
  <c r="I38" i="2"/>
  <c r="A59" i="4"/>
  <c r="A69" i="4"/>
  <c r="C6" i="2"/>
  <c r="N13" i="2"/>
  <c r="G18" i="2"/>
  <c r="D20" i="2"/>
  <c r="C21" i="2"/>
  <c r="N22" i="2"/>
  <c r="J26" i="2"/>
  <c r="H27" i="2"/>
  <c r="E27" i="4" s="1"/>
  <c r="G28" i="2"/>
  <c r="D30" i="2"/>
  <c r="C31" i="2"/>
  <c r="N32" i="2"/>
  <c r="J36" i="2"/>
  <c r="D6" i="4"/>
  <c r="A46" i="4"/>
  <c r="A56" i="4"/>
  <c r="A66" i="4"/>
  <c r="B16" i="6"/>
  <c r="B21" i="6"/>
  <c r="B26" i="6"/>
  <c r="B31" i="6"/>
  <c r="N23" i="2"/>
  <c r="D31" i="2"/>
  <c r="N33" i="2"/>
  <c r="A53" i="4"/>
  <c r="A63" i="4"/>
  <c r="C82" i="4"/>
  <c r="N34" i="2"/>
  <c r="A11" i="4"/>
  <c r="A13" i="4"/>
  <c r="A19" i="4"/>
  <c r="A21" i="4"/>
  <c r="A23" i="4"/>
  <c r="A25" i="4"/>
  <c r="A27" i="4"/>
  <c r="A29" i="4"/>
  <c r="A31" i="4"/>
  <c r="A33" i="4"/>
  <c r="A35" i="4"/>
  <c r="A40" i="4"/>
  <c r="A60" i="4"/>
  <c r="A70" i="4"/>
  <c r="B83" i="4"/>
  <c r="C83" i="4" s="1"/>
  <c r="B10" i="5"/>
  <c r="A6" i="1" s="1"/>
  <c r="B19" i="6"/>
  <c r="B24" i="6"/>
  <c r="B29" i="6"/>
  <c r="B34" i="6"/>
  <c r="N25" i="2"/>
  <c r="N35" i="2"/>
  <c r="A57" i="4"/>
  <c r="A67" i="4"/>
  <c r="C25" i="2"/>
  <c r="N26" i="2"/>
  <c r="N36" i="2"/>
  <c r="A44" i="4"/>
  <c r="A61" i="4"/>
  <c r="C17" i="6"/>
  <c r="C22" i="6"/>
  <c r="C27" i="6"/>
  <c r="C32" i="6"/>
  <c r="G14" i="2"/>
  <c r="E34" i="2"/>
  <c r="D35" i="2"/>
  <c r="C36" i="2"/>
  <c r="J6" i="2"/>
  <c r="C10" i="2"/>
  <c r="C12" i="2"/>
  <c r="J13" i="2"/>
  <c r="H14" i="2"/>
  <c r="E14" i="4" s="1"/>
  <c r="N18" i="2"/>
  <c r="H23" i="2"/>
  <c r="E23" i="4" s="1"/>
  <c r="E25" i="2"/>
  <c r="D26" i="2"/>
  <c r="C27" i="2"/>
  <c r="N28" i="2"/>
  <c r="H33" i="2"/>
  <c r="E33" i="4" s="1"/>
  <c r="G34" i="2"/>
  <c r="E35" i="2"/>
  <c r="D36" i="2"/>
  <c r="A48" i="4"/>
  <c r="A68" i="4"/>
  <c r="G23" i="2"/>
  <c r="D25" i="2"/>
  <c r="C26" i="2"/>
  <c r="N27" i="2"/>
  <c r="D10" i="2"/>
  <c r="D12" i="2"/>
  <c r="F6" i="3" s="1"/>
  <c r="J14" i="2"/>
  <c r="H34" i="2"/>
  <c r="E34" i="4" s="1"/>
  <c r="E36" i="2"/>
  <c r="H39" i="2"/>
  <c r="E76" i="4" l="1"/>
  <c r="C77" i="4"/>
  <c r="B48" i="1"/>
  <c r="L38" i="2"/>
  <c r="L39" i="2"/>
  <c r="G4" i="3"/>
  <c r="F8" i="3"/>
  <c r="C15" i="4"/>
  <c r="K15" i="2"/>
  <c r="M15" i="2" s="1"/>
  <c r="C8" i="4"/>
  <c r="K8" i="2"/>
  <c r="M8" i="2" s="1"/>
  <c r="F5" i="3"/>
  <c r="G8" i="3"/>
  <c r="D78" i="4" s="1"/>
  <c r="B32" i="1"/>
  <c r="B31" i="1"/>
  <c r="O6" i="1" s="1"/>
  <c r="B36" i="6"/>
  <c r="E33" i="2"/>
  <c r="E23" i="2"/>
  <c r="E32" i="2"/>
  <c r="E31" i="2"/>
  <c r="E30" i="2"/>
  <c r="E20" i="2"/>
  <c r="E38" i="2" s="1"/>
  <c r="E28" i="2"/>
  <c r="E18" i="2"/>
  <c r="E21" i="2"/>
  <c r="E22" i="2"/>
  <c r="E29" i="2"/>
  <c r="G8" i="2"/>
  <c r="G39" i="2" s="1"/>
  <c r="D7" i="3"/>
  <c r="E7" i="3" s="1"/>
  <c r="C4" i="3"/>
  <c r="C8" i="3"/>
  <c r="D4" i="3"/>
  <c r="H38" i="2"/>
  <c r="G5" i="3"/>
  <c r="D75" i="4" s="1"/>
  <c r="C5" i="3"/>
  <c r="D5" i="3"/>
  <c r="J9" i="2"/>
  <c r="C47" i="4"/>
  <c r="B47" i="4"/>
  <c r="C17" i="4"/>
  <c r="K17" i="2"/>
  <c r="M17" i="2" s="1"/>
  <c r="E27" i="2"/>
  <c r="D8" i="3"/>
  <c r="C6" i="3"/>
  <c r="J15" i="2"/>
  <c r="J7" i="2"/>
  <c r="E26" i="2"/>
  <c r="K16" i="2"/>
  <c r="M16" i="2" s="1"/>
  <c r="C16" i="4"/>
  <c r="M6" i="2"/>
  <c r="G16" i="2"/>
  <c r="G6" i="3"/>
  <c r="D76" i="4" s="1"/>
  <c r="F4" i="3"/>
  <c r="E24" i="2"/>
  <c r="G17" i="2"/>
  <c r="C35" i="4"/>
  <c r="K35" i="2"/>
  <c r="M35" i="2" s="1"/>
  <c r="F7" i="3"/>
  <c r="D6" i="3"/>
  <c r="K14" i="2"/>
  <c r="M14" i="2" s="1"/>
  <c r="G38" i="2"/>
  <c r="K36" i="2"/>
  <c r="M36" i="2" s="1"/>
  <c r="C36" i="4"/>
  <c r="C25" i="4"/>
  <c r="K25" i="2"/>
  <c r="M25" i="2" s="1"/>
  <c r="C34" i="4"/>
  <c r="K34" i="2"/>
  <c r="M34" i="2" s="1"/>
  <c r="C6" i="1"/>
  <c r="D6" i="1"/>
  <c r="E19" i="2"/>
  <c r="J8" i="2"/>
  <c r="J38" i="2" s="1"/>
  <c r="C7" i="4"/>
  <c r="K7" i="2"/>
  <c r="G7" i="3"/>
  <c r="D77" i="4" s="1"/>
  <c r="C9" i="4"/>
  <c r="K9" i="2"/>
  <c r="M9" i="2" s="1"/>
  <c r="J17" i="2"/>
  <c r="G15" i="2"/>
  <c r="G10" i="3" l="1"/>
  <c r="D74" i="4"/>
  <c r="C70" i="4"/>
  <c r="B70" i="4"/>
  <c r="J5" i="3"/>
  <c r="B75" i="4"/>
  <c r="K22" i="2"/>
  <c r="M22" i="2" s="1"/>
  <c r="C22" i="4"/>
  <c r="C76" i="4"/>
  <c r="I6" i="3"/>
  <c r="E6" i="3"/>
  <c r="E5" i="3"/>
  <c r="C75" i="4"/>
  <c r="I5" i="3"/>
  <c r="K21" i="2"/>
  <c r="M21" i="2" s="1"/>
  <c r="C21" i="4"/>
  <c r="K19" i="2"/>
  <c r="M19" i="2" s="1"/>
  <c r="C19" i="4"/>
  <c r="B48" i="4"/>
  <c r="C48" i="4"/>
  <c r="N14" i="2"/>
  <c r="C40" i="4"/>
  <c r="B40" i="4"/>
  <c r="N6" i="2"/>
  <c r="B78" i="4"/>
  <c r="J8" i="3"/>
  <c r="C18" i="4"/>
  <c r="K18" i="2"/>
  <c r="M18" i="2" s="1"/>
  <c r="E39" i="2"/>
  <c r="B76" i="4"/>
  <c r="J6" i="3"/>
  <c r="K28" i="2"/>
  <c r="M28" i="2" s="1"/>
  <c r="C28" i="4"/>
  <c r="K20" i="2"/>
  <c r="M20" i="2" s="1"/>
  <c r="C20" i="4"/>
  <c r="E75" i="4"/>
  <c r="H5" i="3"/>
  <c r="C69" i="4"/>
  <c r="B69" i="4"/>
  <c r="C51" i="4"/>
  <c r="B51" i="4"/>
  <c r="N17" i="2"/>
  <c r="E77" i="4"/>
  <c r="H7" i="3"/>
  <c r="J39" i="2"/>
  <c r="C74" i="4"/>
  <c r="E4" i="3"/>
  <c r="I4" i="3"/>
  <c r="C10" i="3"/>
  <c r="K31" i="2"/>
  <c r="M31" i="2" s="1"/>
  <c r="C31" i="4"/>
  <c r="I7" i="3"/>
  <c r="J7" i="3"/>
  <c r="B77" i="4"/>
  <c r="K32" i="2"/>
  <c r="M32" i="2" s="1"/>
  <c r="C32" i="4"/>
  <c r="C49" i="4"/>
  <c r="B49" i="4"/>
  <c r="N15" i="2"/>
  <c r="C50" i="4"/>
  <c r="B50" i="4"/>
  <c r="N16" i="2"/>
  <c r="C78" i="4"/>
  <c r="I8" i="3"/>
  <c r="E8" i="3"/>
  <c r="K30" i="2"/>
  <c r="M30" i="2" s="1"/>
  <c r="C30" i="4"/>
  <c r="C42" i="4"/>
  <c r="B42" i="4"/>
  <c r="N8" i="2"/>
  <c r="K26" i="2"/>
  <c r="M26" i="2" s="1"/>
  <c r="C26" i="4"/>
  <c r="C24" i="4"/>
  <c r="K24" i="2"/>
  <c r="M24" i="2" s="1"/>
  <c r="C23" i="4"/>
  <c r="K23" i="2"/>
  <c r="M23" i="2" s="1"/>
  <c r="H6" i="3"/>
  <c r="K38" i="2"/>
  <c r="C27" i="4"/>
  <c r="K27" i="2"/>
  <c r="M27" i="2" s="1"/>
  <c r="B74" i="4"/>
  <c r="J4" i="3"/>
  <c r="D10" i="3"/>
  <c r="B68" i="4"/>
  <c r="C68" i="4"/>
  <c r="C43" i="4"/>
  <c r="B43" i="4"/>
  <c r="N9" i="2"/>
  <c r="C59" i="4"/>
  <c r="B59" i="4"/>
  <c r="M7" i="2"/>
  <c r="M39" i="2" s="1"/>
  <c r="K39" i="2"/>
  <c r="F10" i="3"/>
  <c r="E74" i="4"/>
  <c r="H4" i="3"/>
  <c r="H10" i="3" s="1"/>
  <c r="C29" i="4"/>
  <c r="K29" i="2"/>
  <c r="M29" i="2" s="1"/>
  <c r="C33" i="4"/>
  <c r="K33" i="2"/>
  <c r="M33" i="2" s="1"/>
  <c r="H8" i="3"/>
  <c r="E78" i="4"/>
  <c r="L6" i="3" l="1"/>
  <c r="K6" i="3"/>
  <c r="C57" i="4"/>
  <c r="B57" i="4"/>
  <c r="B39" i="1"/>
  <c r="B42" i="1"/>
  <c r="C53" i="4"/>
  <c r="B53" i="4"/>
  <c r="C56" i="4"/>
  <c r="B56" i="4"/>
  <c r="C66" i="4"/>
  <c r="B66" i="4"/>
  <c r="B58" i="4"/>
  <c r="C58" i="4"/>
  <c r="L8" i="3"/>
  <c r="K8" i="3"/>
  <c r="C54" i="4"/>
  <c r="B54" i="4"/>
  <c r="J10" i="3"/>
  <c r="C62" i="4"/>
  <c r="B62" i="4"/>
  <c r="C41" i="4"/>
  <c r="B41" i="4"/>
  <c r="N7" i="2"/>
  <c r="B40" i="1" s="1"/>
  <c r="C55" i="4"/>
  <c r="B55" i="4"/>
  <c r="C61" i="4"/>
  <c r="B61" i="4"/>
  <c r="C65" i="4"/>
  <c r="B65" i="4"/>
  <c r="M38" i="2"/>
  <c r="K5" i="3"/>
  <c r="L5" i="3" s="1"/>
  <c r="B45" i="1"/>
  <c r="O9" i="1" s="1"/>
  <c r="C67" i="4"/>
  <c r="B67" i="4"/>
  <c r="C64" i="4"/>
  <c r="B64" i="4"/>
  <c r="L7" i="3"/>
  <c r="K7" i="3"/>
  <c r="B44" i="1"/>
  <c r="C60" i="4"/>
  <c r="B60" i="4"/>
  <c r="I10" i="3"/>
  <c r="K4" i="3"/>
  <c r="L4" i="3" s="1"/>
  <c r="C52" i="4"/>
  <c r="B52" i="4"/>
  <c r="C63" i="4"/>
  <c r="B63" i="4"/>
  <c r="E10" i="3"/>
  <c r="B41" i="1" l="1"/>
  <c r="K10" i="3"/>
  <c r="O8" i="1"/>
  <c r="B46" i="1"/>
  <c r="B47" i="1" s="1"/>
</calcChain>
</file>

<file path=xl/sharedStrings.xml><?xml version="1.0" encoding="utf-8"?>
<sst xmlns="http://schemas.openxmlformats.org/spreadsheetml/2006/main" count="192" uniqueCount="153">
  <si>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</si>
  <si>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</si>
  <si>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</si>
  <si>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</si>
  <si>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</si>
  <si>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</si>
  <si>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</si>
  <si>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Terpakai</t>
  </si>
  <si>
    <t>Sisa</t>
  </si>
  <si>
    <t>A. PENGELUARAN BAHAN PANGAN</t>
  </si>
  <si>
    <t>Surplus</t>
  </si>
  <si>
    <t>Rata-Rata Pengeluaran Bahan Pangan / Hari</t>
  </si>
  <si>
    <t>Defisit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</si>
  <si>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</si>
  <si>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</si>
  <si>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</si>
  <si>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</si>
  <si>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</si>
  <si>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</si>
  <si>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</si>
  <si>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</si>
  <si>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</si>
  <si>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</si>
  <si>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</si>
  <si>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</si>
  <si>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</si>
  <si>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</si>
  <si>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</si>
  <si>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</si>
  <si>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</si>
  <si>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</si>
  <si>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</si>
  <si>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</si>
  <si>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</si>
  <si>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</si>
  <si>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(positif = hemat)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</si>
  <si>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</si>
  <si>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</si>
  <si>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</si>
  <si>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</si>
  <si>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</si>
  <si>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</si>
  <si>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</si>
  <si>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</si>
  <si>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% Surplus Total (dari Total Pagu)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</si>
  <si>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</si>
  <si>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</si>
  <si>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</si>
  <si>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</si>
  <si>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</si>
  <si>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</si>
  <si>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</si>
  <si>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</si>
  <si>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</si>
  <si>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</si>
  <si>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</si>
  <si>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</si>
  <si>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</si>
  <si>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</si>
  <si>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</si>
  <si>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</si>
  <si>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</si>
  <si>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</si>
  <si>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</si>
  <si>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</si>
  <si>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</si>
  <si>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</si>
  <si>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</si>
  <si>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</si>
  <si>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</si>
  <si>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Pembayaran Sewa</t>
  </si>
  <si>
    <t>-</t>
  </si>
  <si>
    <t>Libur</t>
  </si>
  <si>
    <t>Pembayaran Sewa dan Gaji Relawan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</si>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</sst>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 x14ac:knownFonts="1">
    <font>
      <sz val="11"/>
      <color rgb="FF262626"/>
      <name val="Calibri"/>
      <scheme val="minor"/>
    </font>
    <font>
      <b/>
      <sz val="20"/>
      <color rgb="FF1F4E79"/>
      <name val="Calibri"/>
      <family val="2"/>
    </font>
    <font>
      <i/>
      <sz val="10"/>
      <color rgb="FF595959"/>
      <name val="Calibri"/>
      <family val="2"/>
    </font>
    <font>
      <b/>
      <i/>
      <sz val="11"/>
      <color rgb="FF262626"/>
      <name val="Calibri"/>
      <family val="2"/>
    </font>
    <font>
      <b/>
      <sz val="11"/>
      <color rgb="FF262626"/>
      <name val="Calibri"/>
      <family val="2"/>
    </font>
    <font>
      <b/>
      <sz val="9"/>
      <color rgb="FF404040"/>
      <name val="Calibri"/>
      <family val="2"/>
    </font>
    <font>
      <sz val="11"/>
      <color rgb="FFC00000"/>
      <name val="Calibri"/>
      <family val="2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b/>
      <sz val="14"/>
      <color rgb="FF1F4E79"/>
      <name val="Calibri"/>
      <family val="2"/>
    </font>
    <font>
      <b/>
      <sz val="11"/>
      <color rgb="FF375623"/>
      <name val="Calibri"/>
      <family val="2"/>
    </font>
    <font>
      <i/>
      <sz val="9"/>
      <color rgb="FF80808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375623"/>
      <name val="Calibri"/>
      <family val="2"/>
    </font>
    <font>
      <sz val="11"/>
      <color rgb="FF262626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6" fillId="0" borderId="1" xfId="0" applyNumberFormat="1" applyFont="1" applyBorder="1"/>
    <xf numFmtId="164" fontId="7" fillId="2" borderId="2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/>
    <xf numFmtId="164" fontId="10" fillId="8" borderId="1" xfId="0" applyNumberFormat="1" applyFont="1" applyFill="1" applyBorder="1"/>
    <xf numFmtId="0" fontId="11" fillId="0" borderId="0" xfId="0" applyFont="1"/>
    <xf numFmtId="165" fontId="4" fillId="0" borderId="1" xfId="0" applyNumberFormat="1" applyFont="1" applyBorder="1" applyAlignment="1">
      <alignment horizontal="center"/>
    </xf>
    <xf numFmtId="0" fontId="8" fillId="9" borderId="1" xfId="0" applyFont="1" applyFill="1" applyBorder="1" applyAlignment="1">
      <alignment horizontal="left" vertical="center"/>
    </xf>
    <xf numFmtId="0" fontId="12" fillId="0" borderId="0" xfId="0" applyFont="1"/>
    <xf numFmtId="0" fontId="13" fillId="10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/>
    <xf numFmtId="164" fontId="14" fillId="0" borderId="1" xfId="0" applyNumberFormat="1" applyFont="1" applyBorder="1"/>
    <xf numFmtId="166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16" fillId="0" borderId="0" xfId="0" applyFont="1"/>
    <xf numFmtId="167" fontId="16" fillId="0" borderId="0" xfId="0" applyNumberFormat="1" applyFont="1"/>
    <xf numFmtId="167" fontId="10" fillId="8" borderId="1" xfId="0" applyNumberFormat="1" applyFont="1" applyFill="1" applyBorder="1"/>
    <xf numFmtId="167" fontId="15" fillId="0" borderId="1" xfId="0" applyNumberFormat="1" applyFont="1" applyBorder="1"/>
    <xf numFmtId="0" fontId="4" fillId="11" borderId="1" xfId="0" applyFont="1" applyFill="1" applyBorder="1"/>
    <xf numFmtId="0" fontId="8" fillId="12" borderId="1" xfId="0" applyFont="1" applyFill="1" applyBorder="1" applyAlignment="1">
      <alignment horizontal="left" vertical="center"/>
    </xf>
    <xf numFmtId="3" fontId="15" fillId="0" borderId="1" xfId="0" applyNumberFormat="1" applyFont="1" applyBorder="1" applyAlignment="1">
      <alignment horizontal="center"/>
    </xf>
    <xf numFmtId="0" fontId="8" fillId="10" borderId="1" xfId="0" applyFont="1" applyFill="1" applyBorder="1" applyAlignment="1">
      <alignment horizontal="left" vertical="center"/>
    </xf>
    <xf numFmtId="0" fontId="17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8">
    <dxf>
      <font>
        <b/>
        <color rgb="FF808080"/>
      </font>
      <fill>
        <patternFill patternType="solid">
          <fgColor rgb="FFE7E6E6"/>
          <bgColor rgb="FFE7E6E6"/>
        </patternFill>
      </fill>
    </dxf>
    <dxf>
      <font>
        <b/>
        <color rgb="FFFFFFFF"/>
      </font>
      <fill>
        <patternFill patternType="solid">
          <fgColor rgb="FF2E75B6"/>
          <bgColor rgb="FF2E75B6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808080"/>
      </font>
      <fill>
        <patternFill patternType="solid">
          <fgColor rgb="FFE7E6E6"/>
          <bgColor rgb="FFE7E6E6"/>
        </patternFill>
      </fill>
    </dxf>
    <dxf>
      <font>
        <b/>
        <color rgb="FFFFFFFF"/>
      </font>
      <fill>
        <patternFill patternType="solid">
          <fgColor rgb="FF2E75B6"/>
          <bgColor rgb="FF2E75B6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id-ID" b="1" i="0">
                <a:solidFill>
                  <a:srgbClr val="757575"/>
                </a:solidFill>
                <a:latin typeface="+mn-lt"/>
              </a:rPr>
              <a:t>PENYERAPAN ANGGARAN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E67300"/>
              </a:solidFill>
            </c:spPr>
            <c:extLst>
              <c:ext xmlns:c16="http://schemas.microsoft.com/office/drawing/2014/chart" uri="{C3380CC4-5D6E-409C-BE32-E72D297353CC}">
                <c16:uniqueId val="{00000001-2814-9348-B499-1765E1467A0F}"/>
              </c:ext>
            </c:extLst>
          </c:dPt>
          <c:dPt>
            <c:idx val="1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3-2814-9348-B499-1765E1467A0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Dashboard!$N$5:$N$6</c:f>
              <c:strCache>
                <c:ptCount val="2"/>
                <c:pt idx="0">
                  <c:v>Terpakai</c:v>
                </c:pt>
                <c:pt idx="1">
                  <c:v>Sisa</c:v>
                </c:pt>
              </c:strCache>
            </c:strRef>
          </c:cat>
          <c:val>
            <c:numRef>
              <c:f>Dashboard!$O$5:$O$6</c:f>
              <c:numCache>
                <c:formatCode>"Rp"\ #,##0;[Red]"Rp"\ \-#,##0</c:formatCode>
                <c:ptCount val="2"/>
                <c:pt idx="0">
                  <c:v>342069931</c:v>
                </c:pt>
                <c:pt idx="1">
                  <c:v>90600069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14-9348-B499-1765E146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b"/>
      <c:overlay val="0"/>
      <c:txPr>
        <a:bodyPr/>
        <a:lstStyle/>
        <a:p>
          <a:pPr lvl="0">
            <a:defRPr sz="1100" b="1" i="0">
              <a:solidFill>
                <a:srgbClr val="1A1A1A"/>
              </a:solidFill>
              <a:latin typeface="Calibri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id-ID" b="1" i="0">
                <a:solidFill>
                  <a:srgbClr val="757575"/>
                </a:solidFill>
                <a:latin typeface="+mn-lt"/>
              </a:rPr>
              <a:t>AKUMULASI SURPLUS vs DEFISIT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Nilai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1B0-4148-8FBA-D96E62F1A156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1B0-4148-8FBA-D96E62F1A156}"/>
              </c:ext>
            </c:extLst>
          </c:dPt>
          <c:dLbls>
            <c:numFmt formatCode="&quot;Rp&quot;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 i="0">
                    <a:solidFill>
                      <a:srgbClr val="262626"/>
                    </a:solidFill>
                    <a:latin typeface="Calibri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Dashboard!$N$8:$N$9</c:f>
              <c:strCache>
                <c:ptCount val="2"/>
                <c:pt idx="0">
                  <c:v>Surplus</c:v>
                </c:pt>
                <c:pt idx="1">
                  <c:v>Defisit</c:v>
                </c:pt>
              </c:strCache>
            </c:strRef>
          </c:cat>
          <c:val>
            <c:numRef>
              <c:f>Dashboard!$O$8:$O$9</c:f>
              <c:numCache>
                <c:formatCode>"Rp"\ #,##0;[Red]"Rp"\ \-#,##0</c:formatCode>
                <c:ptCount val="2"/>
                <c:pt idx="0">
                  <c:v>89391050</c:v>
                </c:pt>
                <c:pt idx="1">
                  <c:v>64607481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1B0-4148-8FBA-D96E62F1A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241410"/>
        <c:axId val="1433076563"/>
      </c:barChart>
      <c:catAx>
        <c:axId val="838241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1" i="0">
                <a:solidFill>
                  <a:srgbClr val="262626"/>
                </a:solidFill>
                <a:latin typeface="Calibri"/>
              </a:defRPr>
            </a:pPr>
            <a:endParaRPr lang="id-ID"/>
          </a:p>
        </c:txPr>
        <c:crossAx val="1433076563"/>
        <c:crosses val="autoZero"/>
        <c:auto val="1"/>
        <c:lblAlgn val="ctr"/>
        <c:lblOffset val="100"/>
        <c:noMultiLvlLbl val="1"/>
      </c:catAx>
      <c:valAx>
        <c:axId val="14330765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&quot;Rp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83824141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Grafik!$B$4:$B$5</c:f>
              <c:strCache>
                <c:ptCount val="2"/>
                <c:pt idx="0">
                  <c:v>1. Tren Harian - Pangan &amp; Operasional vs Pagu</c:v>
                </c:pt>
                <c:pt idx="1">
                  <c:v>Aktual Pangan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  <c:strCache>
                <c:ptCount val="12"/>
                <c:pt idx="0">
                  <c:v>01 Sep 2025</c:v>
                </c:pt>
                <c:pt idx="1">
                  <c:v>02 Sep 2025</c:v>
                </c:pt>
                <c:pt idx="2">
                  <c:v>03 Sep 2025</c:v>
                </c:pt>
                <c:pt idx="3">
                  <c:v>04 Sep 2025</c:v>
                </c:pt>
                <c:pt idx="4">
                  <c:v>05 Sep 2025</c:v>
                </c:pt>
                <c:pt idx="5">
                  <c:v>06 Sep 2025</c:v>
                </c:pt>
                <c:pt idx="6">
                  <c:v>07 Sep 2025</c:v>
                </c:pt>
                <c:pt idx="7">
                  <c:v>08 Sep 2025</c:v>
                </c:pt>
                <c:pt idx="8">
                  <c:v>09 Sep 2025</c:v>
                </c:pt>
                <c:pt idx="9">
                  <c:v>10 Sep 2025</c:v>
                </c:pt>
                <c:pt idx="10">
                  <c:v>11 Sep 2025</c:v>
                </c:pt>
                <c:pt idx="11">
                  <c:v>12 Sep 2025</c:v>
                </c:pt>
              </c:strCache>
            </c:strRef>
          </c:cat>
          <c:val>
            <c:numRef>
              <c:f>Grafik!$B$6:$B$36</c:f>
              <c:numCache>
                <c:formatCode>"Rp"\ #,##0;[Red]"Rp"\ \-#,##0</c:formatCode>
                <c:ptCount val="31"/>
                <c:pt idx="0">
                  <c:v>31728300</c:v>
                </c:pt>
                <c:pt idx="1">
                  <c:v>29861200</c:v>
                </c:pt>
                <c:pt idx="2">
                  <c:v>27381000</c:v>
                </c:pt>
                <c:pt idx="3">
                  <c:v>20791000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23935050</c:v>
                </c:pt>
                <c:pt idx="8">
                  <c:v>22762300</c:v>
                </c:pt>
                <c:pt idx="9">
                  <c:v>16132300</c:v>
                </c:pt>
                <c:pt idx="10">
                  <c:v>23274600</c:v>
                </c:pt>
                <c:pt idx="11">
                  <c:v>25527681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46-674C-AB6C-EDDAECF9EA0B}"/>
            </c:ext>
          </c:extLst>
        </c:ser>
        <c:ser>
          <c:idx val="1"/>
          <c:order val="1"/>
          <c:tx>
            <c:strRef>
              <c:f>Grafik!$C$4:$C$5</c:f>
              <c:strCache>
                <c:ptCount val="2"/>
                <c:pt idx="0">
                  <c:v>1. Tren Harian - Pangan &amp; Operasional vs Pagu</c:v>
                </c:pt>
                <c:pt idx="1">
                  <c:v>Pagu Pangan</c:v>
                </c:pt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  <c:strCache>
                <c:ptCount val="12"/>
                <c:pt idx="0">
                  <c:v>01 Sep 2025</c:v>
                </c:pt>
                <c:pt idx="1">
                  <c:v>02 Sep 2025</c:v>
                </c:pt>
                <c:pt idx="2">
                  <c:v>03 Sep 2025</c:v>
                </c:pt>
                <c:pt idx="3">
                  <c:v>04 Sep 2025</c:v>
                </c:pt>
                <c:pt idx="4">
                  <c:v>05 Sep 2025</c:v>
                </c:pt>
                <c:pt idx="5">
                  <c:v>06 Sep 2025</c:v>
                </c:pt>
                <c:pt idx="6">
                  <c:v>07 Sep 2025</c:v>
                </c:pt>
                <c:pt idx="7">
                  <c:v>08 Sep 2025</c:v>
                </c:pt>
                <c:pt idx="8">
                  <c:v>09 Sep 2025</c:v>
                </c:pt>
                <c:pt idx="9">
                  <c:v>10 Sep 2025</c:v>
                </c:pt>
                <c:pt idx="10">
                  <c:v>11 Sep 2025</c:v>
                </c:pt>
                <c:pt idx="11">
                  <c:v>12 Sep 2025</c:v>
                </c:pt>
              </c:strCache>
            </c:strRef>
          </c:cat>
          <c:val>
            <c:numRef>
              <c:f>Grafik!$C$6:$C$36</c:f>
              <c:numCache>
                <c:formatCode>"Rp"\ #,##0;[Red]"Rp"\ \-#,##0</c:formatCode>
                <c:ptCount val="31"/>
                <c:pt idx="0">
                  <c:v>28234000</c:v>
                </c:pt>
                <c:pt idx="1">
                  <c:v>28234000</c:v>
                </c:pt>
                <c:pt idx="2">
                  <c:v>28234000</c:v>
                </c:pt>
                <c:pt idx="3">
                  <c:v>28234000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28234000</c:v>
                </c:pt>
                <c:pt idx="8">
                  <c:v>28234000</c:v>
                </c:pt>
                <c:pt idx="9">
                  <c:v>28234000</c:v>
                </c:pt>
                <c:pt idx="10">
                  <c:v>28234000</c:v>
                </c:pt>
                <c:pt idx="11">
                  <c:v>28234000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46-674C-AB6C-EDDAECF9E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693978"/>
        <c:axId val="1634191399"/>
      </c:lineChart>
      <c:dateAx>
        <c:axId val="727693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dd\ mmm\ yyyy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1634191399"/>
        <c:crosses val="autoZero"/>
        <c:auto val="1"/>
        <c:lblOffset val="100"/>
        <c:baseTimeUnit val="days"/>
      </c:dateAx>
      <c:valAx>
        <c:axId val="1634191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p&quot;\ #,##0;[Red]&quot;Rp&quot;\ \-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7276939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Aktual Operasional</c:v>
          </c:tx>
          <c:spPr>
            <a:ln w="28575" cmpd="sng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  <c:strCache>
                <c:ptCount val="12"/>
                <c:pt idx="0">
                  <c:v>01 Sep 2025</c:v>
                </c:pt>
                <c:pt idx="1">
                  <c:v>02 Sep 2025</c:v>
                </c:pt>
                <c:pt idx="2">
                  <c:v>03 Sep 2025</c:v>
                </c:pt>
                <c:pt idx="3">
                  <c:v>04 Sep 2025</c:v>
                </c:pt>
                <c:pt idx="4">
                  <c:v>05 Sep 2025</c:v>
                </c:pt>
                <c:pt idx="5">
                  <c:v>06 Sep 2025</c:v>
                </c:pt>
                <c:pt idx="6">
                  <c:v>07 Sep 2025</c:v>
                </c:pt>
                <c:pt idx="7">
                  <c:v>08 Sep 2025</c:v>
                </c:pt>
                <c:pt idx="8">
                  <c:v>09 Sep 2025</c:v>
                </c:pt>
                <c:pt idx="9">
                  <c:v>10 Sep 2025</c:v>
                </c:pt>
                <c:pt idx="10">
                  <c:v>11 Sep 2025</c:v>
                </c:pt>
                <c:pt idx="11">
                  <c:v>12 Sep 2025</c:v>
                </c:pt>
              </c:strCache>
            </c:strRef>
          </c:cat>
          <c:val>
            <c:numRef>
              <c:f>Grafik!$D$6:$D$36</c:f>
              <c:numCache>
                <c:formatCode>"Rp"\ #,##0;[Red]"Rp"\ \-#,##0</c:formatCode>
                <c:ptCount val="31"/>
                <c:pt idx="0">
                  <c:v>11376000</c:v>
                </c:pt>
                <c:pt idx="1">
                  <c:v>1033500</c:v>
                </c:pt>
                <c:pt idx="2">
                  <c:v>2768000</c:v>
                </c:pt>
                <c:pt idx="3">
                  <c:v>18250000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5534000</c:v>
                </c:pt>
                <c:pt idx="8">
                  <c:v>0</c:v>
                </c:pt>
                <c:pt idx="9">
                  <c:v>1820000</c:v>
                </c:pt>
                <c:pt idx="10">
                  <c:v>2396500</c:v>
                </c:pt>
                <c:pt idx="11">
                  <c:v>77498500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7-1348-9037-4B38906184CE}"/>
            </c:ext>
          </c:extLst>
        </c:ser>
        <c:ser>
          <c:idx val="1"/>
          <c:order val="1"/>
          <c:tx>
            <c:v>Pagu Operasional</c:v>
          </c:tx>
          <c:spPr>
            <a:ln w="19050" cmpd="sng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  <c:strCache>
                <c:ptCount val="12"/>
                <c:pt idx="0">
                  <c:v>01 Sep 2025</c:v>
                </c:pt>
                <c:pt idx="1">
                  <c:v>02 Sep 2025</c:v>
                </c:pt>
                <c:pt idx="2">
                  <c:v>03 Sep 2025</c:v>
                </c:pt>
                <c:pt idx="3">
                  <c:v>04 Sep 2025</c:v>
                </c:pt>
                <c:pt idx="4">
                  <c:v>05 Sep 2025</c:v>
                </c:pt>
                <c:pt idx="5">
                  <c:v>06 Sep 2025</c:v>
                </c:pt>
                <c:pt idx="6">
                  <c:v>07 Sep 2025</c:v>
                </c:pt>
                <c:pt idx="7">
                  <c:v>08 Sep 2025</c:v>
                </c:pt>
                <c:pt idx="8">
                  <c:v>09 Sep 2025</c:v>
                </c:pt>
                <c:pt idx="9">
                  <c:v>10 Sep 2025</c:v>
                </c:pt>
                <c:pt idx="10">
                  <c:v>11 Sep 2025</c:v>
                </c:pt>
                <c:pt idx="11">
                  <c:v>12 Sep 2025</c:v>
                </c:pt>
              </c:strCache>
            </c:strRef>
          </c:cat>
          <c:val>
            <c:numRef>
              <c:f>Grafik!$E$6:$E$36</c:f>
              <c:numCache>
                <c:formatCode>"Rp"\ #,##0;[Red]"Rp"\ \-#,##0</c:formatCode>
                <c:ptCount val="31"/>
                <c:pt idx="0">
                  <c:v>12527500</c:v>
                </c:pt>
                <c:pt idx="1">
                  <c:v>12527500</c:v>
                </c:pt>
                <c:pt idx="2">
                  <c:v>12527500</c:v>
                </c:pt>
                <c:pt idx="3">
                  <c:v>12527500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12527500</c:v>
                </c:pt>
                <c:pt idx="8">
                  <c:v>12527500</c:v>
                </c:pt>
                <c:pt idx="9">
                  <c:v>12527500</c:v>
                </c:pt>
                <c:pt idx="10">
                  <c:v>12527500</c:v>
                </c:pt>
                <c:pt idx="11">
                  <c:v>12527500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7-1348-9037-4B3890618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013449"/>
        <c:axId val="769233660"/>
      </c:lineChart>
      <c:dateAx>
        <c:axId val="2047013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d/mm" sourceLinked="0"/>
        <c:majorTickMark val="out"/>
        <c:minorTickMark val="cross"/>
        <c:tickLblPos val="nextTo"/>
        <c:txPr>
          <a:bodyPr rot="-2700000"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769233660"/>
        <c:crosses val="autoZero"/>
        <c:auto val="1"/>
        <c:lblOffset val="100"/>
        <c:baseTimeUnit val="days"/>
      </c:dateAx>
      <c:valAx>
        <c:axId val="769233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2047013449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Grafik!$A$40:$A$70</c:f>
              <c:strCache>
                <c:ptCount val="12"/>
                <c:pt idx="0">
                  <c:v>01 Sep 2025</c:v>
                </c:pt>
                <c:pt idx="1">
                  <c:v>02 Sep 2025</c:v>
                </c:pt>
                <c:pt idx="2">
                  <c:v>03 Sep 2025</c:v>
                </c:pt>
                <c:pt idx="3">
                  <c:v>04 Sep 2025</c:v>
                </c:pt>
                <c:pt idx="4">
                  <c:v>05 Sep 2025</c:v>
                </c:pt>
                <c:pt idx="5">
                  <c:v>06 Sep 2025</c:v>
                </c:pt>
                <c:pt idx="6">
                  <c:v>07 Sep 2025</c:v>
                </c:pt>
                <c:pt idx="7">
                  <c:v>08 Sep 2025</c:v>
                </c:pt>
                <c:pt idx="8">
                  <c:v>09 Sep 2025</c:v>
                </c:pt>
                <c:pt idx="9">
                  <c:v>10 Sep 2025</c:v>
                </c:pt>
                <c:pt idx="10">
                  <c:v>11 Sep 2025</c:v>
                </c:pt>
                <c:pt idx="11">
                  <c:v>12 Sep 2025</c:v>
                </c:pt>
              </c:strCache>
            </c:strRef>
          </c:cat>
          <c:val>
            <c:numRef>
              <c:f>Grafik!$B$40:$B$70</c:f>
              <c:numCache>
                <c:formatCode>"Rp"\ #,##0;[Red]"Rp"\ \-#,##0</c:formatCode>
                <c:ptCount val="31"/>
                <c:pt idx="0">
                  <c:v>0</c:v>
                </c:pt>
                <c:pt idx="1">
                  <c:v>9866800</c:v>
                </c:pt>
                <c:pt idx="2">
                  <c:v>10612500</c:v>
                </c:pt>
                <c:pt idx="3">
                  <c:v>1720500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11292450</c:v>
                </c:pt>
                <c:pt idx="8">
                  <c:v>17999200</c:v>
                </c:pt>
                <c:pt idx="9">
                  <c:v>22809200</c:v>
                </c:pt>
                <c:pt idx="10">
                  <c:v>15090400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1F-A944-8D1C-294609D8E51E}"/>
            </c:ext>
          </c:extLst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Grafik!$A$40:$A$70</c:f>
              <c:strCache>
                <c:ptCount val="12"/>
                <c:pt idx="0">
                  <c:v>01 Sep 2025</c:v>
                </c:pt>
                <c:pt idx="1">
                  <c:v>02 Sep 2025</c:v>
                </c:pt>
                <c:pt idx="2">
                  <c:v>03 Sep 2025</c:v>
                </c:pt>
                <c:pt idx="3">
                  <c:v>04 Sep 2025</c:v>
                </c:pt>
                <c:pt idx="4">
                  <c:v>05 Sep 2025</c:v>
                </c:pt>
                <c:pt idx="5">
                  <c:v>06 Sep 2025</c:v>
                </c:pt>
                <c:pt idx="6">
                  <c:v>07 Sep 2025</c:v>
                </c:pt>
                <c:pt idx="7">
                  <c:v>08 Sep 2025</c:v>
                </c:pt>
                <c:pt idx="8">
                  <c:v>09 Sep 2025</c:v>
                </c:pt>
                <c:pt idx="9">
                  <c:v>10 Sep 2025</c:v>
                </c:pt>
                <c:pt idx="10">
                  <c:v>11 Sep 2025</c:v>
                </c:pt>
                <c:pt idx="11">
                  <c:v>12 Sep 2025</c:v>
                </c:pt>
              </c:strCache>
            </c:strRef>
          </c:cat>
          <c:val>
            <c:numRef>
              <c:f>Grafik!$C$40:$C$70</c:f>
              <c:numCache>
                <c:formatCode>"Rp"\ #,##0;[Red]"Rp"\ \-#,##0</c:formatCode>
                <c:ptCount val="31"/>
                <c:pt idx="0">
                  <c:v>2342800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62264681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1F-A944-8D1C-294609D8E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173924"/>
        <c:axId val="1760992479"/>
      </c:barChart>
      <c:dateAx>
        <c:axId val="152173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d/mm" sourceLinked="0"/>
        <c:majorTickMark val="out"/>
        <c:minorTickMark val="cross"/>
        <c:tickLblPos val="nextTo"/>
        <c:txPr>
          <a:bodyPr rot="-2700000"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1760992479"/>
        <c:crosses val="autoZero"/>
        <c:auto val="1"/>
        <c:lblOffset val="100"/>
        <c:baseTimeUnit val="days"/>
      </c:dateAx>
      <c:valAx>
        <c:axId val="1760992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15217392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Grafik!$A$74:$A$78</c:f>
              <c:strCache>
                <c:ptCount val="5"/>
                <c:pt idx="0">
                  <c:v>Mg 1. Tren Harian - Pangan &amp; Operasional vs Pagu</c:v>
                </c:pt>
                <c:pt idx="1">
                  <c:v>Mg Tgl</c:v>
                </c:pt>
                <c:pt idx="2">
                  <c:v>Mg 45901</c:v>
                </c:pt>
                <c:pt idx="3">
                  <c:v>Mg 45902</c:v>
                </c:pt>
                <c:pt idx="4">
                  <c:v>Mg 45903</c:v>
                </c:pt>
              </c:strCache>
            </c:strRef>
          </c:cat>
          <c:val>
            <c:numRef>
              <c:f>Grafik!$B$74:$B$78</c:f>
              <c:numCache>
                <c:formatCode>"Rp"\ #,##0;[Red]"Rp"\ \-#,##0</c:formatCode>
                <c:ptCount val="5"/>
                <c:pt idx="0">
                  <c:v>109761500</c:v>
                </c:pt>
                <c:pt idx="1">
                  <c:v>111631931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3F-A949-810B-0041E54906C6}"/>
            </c:ext>
          </c:extLst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Grafik!$A$74:$A$78</c:f>
              <c:strCache>
                <c:ptCount val="5"/>
                <c:pt idx="0">
                  <c:v>Mg 1. Tren Harian - Pangan &amp; Operasional vs Pagu</c:v>
                </c:pt>
                <c:pt idx="1">
                  <c:v>Mg Tgl</c:v>
                </c:pt>
                <c:pt idx="2">
                  <c:v>Mg 45901</c:v>
                </c:pt>
                <c:pt idx="3">
                  <c:v>Mg 45902</c:v>
                </c:pt>
                <c:pt idx="4">
                  <c:v>Mg 45903</c:v>
                </c:pt>
              </c:strCache>
            </c:strRef>
          </c:cat>
          <c:val>
            <c:numRef>
              <c:f>Grafik!$C$74:$C$78</c:f>
              <c:numCache>
                <c:formatCode>"Rp"\ #,##0;[Red]"Rp"\ \-#,##0</c:formatCode>
                <c:ptCount val="5"/>
                <c:pt idx="0">
                  <c:v>112936000</c:v>
                </c:pt>
                <c:pt idx="1">
                  <c:v>141170000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03F-A949-810B-0041E54906C6}"/>
            </c:ext>
          </c:extLst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Grafik!$A$74:$A$78</c:f>
              <c:strCache>
                <c:ptCount val="5"/>
                <c:pt idx="0">
                  <c:v>Mg 1. Tren Harian - Pangan &amp; Operasional vs Pagu</c:v>
                </c:pt>
                <c:pt idx="1">
                  <c:v>Mg Tgl</c:v>
                </c:pt>
                <c:pt idx="2">
                  <c:v>Mg 45901</c:v>
                </c:pt>
                <c:pt idx="3">
                  <c:v>Mg 45902</c:v>
                </c:pt>
                <c:pt idx="4">
                  <c:v>Mg 45903</c:v>
                </c:pt>
              </c:strCache>
            </c:strRef>
          </c:cat>
          <c:val>
            <c:numRef>
              <c:f>Grafik!$D$74:$D$78</c:f>
              <c:numCache>
                <c:formatCode>"Rp"\ #,##0;[Red]"Rp"\ \-#,##0</c:formatCode>
                <c:ptCount val="5"/>
                <c:pt idx="0">
                  <c:v>33427500</c:v>
                </c:pt>
                <c:pt idx="1">
                  <c:v>87249000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03F-A949-810B-0041E54906C6}"/>
            </c:ext>
          </c:extLst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Grafik!$A$74:$A$78</c:f>
              <c:strCache>
                <c:ptCount val="5"/>
                <c:pt idx="0">
                  <c:v>Mg 1. Tren Harian - Pangan &amp; Operasional vs Pagu</c:v>
                </c:pt>
                <c:pt idx="1">
                  <c:v>Mg Tgl</c:v>
                </c:pt>
                <c:pt idx="2">
                  <c:v>Mg 45901</c:v>
                </c:pt>
                <c:pt idx="3">
                  <c:v>Mg 45902</c:v>
                </c:pt>
                <c:pt idx="4">
                  <c:v>Mg 45903</c:v>
                </c:pt>
              </c:strCache>
            </c:strRef>
          </c:cat>
          <c:val>
            <c:numRef>
              <c:f>Grafik!$E$74:$E$78</c:f>
              <c:numCache>
                <c:formatCode>"Rp"\ #,##0;[Red]"Rp"\ \-#,##0</c:formatCode>
                <c:ptCount val="5"/>
                <c:pt idx="0">
                  <c:v>50110000</c:v>
                </c:pt>
                <c:pt idx="1">
                  <c:v>62637500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03F-A949-810B-0041E5490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2231059"/>
        <c:axId val="1259439768"/>
      </c:barChart>
      <c:catAx>
        <c:axId val="1872231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1259439768"/>
        <c:crosses val="autoZero"/>
        <c:auto val="1"/>
        <c:lblAlgn val="ctr"/>
        <c:lblOffset val="100"/>
        <c:noMultiLvlLbl val="1"/>
      </c:catAx>
      <c:valAx>
        <c:axId val="1259439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187223105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Grafik!$B$81</c:f>
              <c:strCache>
                <c:ptCount val="1"/>
                <c:pt idx="0">
                  <c:v>Jumlah (Rp)</c:v>
                </c:pt>
              </c:strCache>
            </c:strRef>
          </c:tx>
          <c:dPt>
            <c:idx val="0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1-B922-DE46-B911-AF9DCA02080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B922-DE46-B911-AF9DCA02080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Grafik!$A$82:$A$83</c:f>
              <c:strCache>
                <c:ptCount val="2"/>
                <c:pt idx="0">
                  <c:v>Bahan Pangan</c:v>
                </c:pt>
                <c:pt idx="1">
                  <c:v>Operasional</c:v>
                </c:pt>
              </c:strCache>
            </c:strRef>
          </c:cat>
          <c:val>
            <c:numRef>
              <c:f>Grafik!$B$82:$B$83</c:f>
              <c:numCache>
                <c:formatCode>"Rp"\ #,##0;[Red]"Rp"\ \-#,##0</c:formatCode>
                <c:ptCount val="2"/>
                <c:pt idx="0">
                  <c:v>221393431</c:v>
                </c:pt>
                <c:pt idx="1">
                  <c:v>120676500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22-DE46-B911-AF9DCA020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sz="1100" b="1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133850" cy="3800475"/>
    <xdr:graphicFrame macro="">
      <xdr:nvGraphicFramePr>
        <xdr:cNvPr id="1386208017" name="Chart 1">
          <a:extLst>
            <a:ext uri="{FF2B5EF4-FFF2-40B4-BE49-F238E27FC236}">
              <a16:creationId xmlns:a16="http://schemas.microsoft.com/office/drawing/2014/main" id="{00000000-0008-0000-0000-000011DB9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4133850" cy="4400550"/>
    <xdr:graphicFrame macro="">
      <xdr:nvGraphicFramePr>
        <xdr:cNvPr id="1311434938" name="Chart 2">
          <a:extLst>
            <a:ext uri="{FF2B5EF4-FFF2-40B4-BE49-F238E27FC236}">
              <a16:creationId xmlns:a16="http://schemas.microsoft.com/office/drawing/2014/main" id="{00000000-0008-0000-0000-0000BAE82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086600" cy="4248150"/>
    <xdr:graphicFrame macro="">
      <xdr:nvGraphicFramePr>
        <xdr:cNvPr id="60957237" name="Chart 3" title="Chart">
          <a:extLst>
            <a:ext uri="{FF2B5EF4-FFF2-40B4-BE49-F238E27FC236}">
              <a16:creationId xmlns:a16="http://schemas.microsoft.com/office/drawing/2014/main" id="{00000000-0008-0000-0300-00003522A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 macro="">
      <xdr:nvGraphicFramePr>
        <xdr:cNvPr id="209710994" name="Chart 4">
          <a:extLst>
            <a:ext uri="{FF2B5EF4-FFF2-40B4-BE49-F238E27FC236}">
              <a16:creationId xmlns:a16="http://schemas.microsoft.com/office/drawing/2014/main" id="{00000000-0008-0000-0300-000092EF7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 macro="">
      <xdr:nvGraphicFramePr>
        <xdr:cNvPr id="216921215" name="Chart 5">
          <a:extLst>
            <a:ext uri="{FF2B5EF4-FFF2-40B4-BE49-F238E27FC236}">
              <a16:creationId xmlns:a16="http://schemas.microsoft.com/office/drawing/2014/main" id="{00000000-0008-0000-0300-00007FF4E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 macro="">
      <xdr:nvGraphicFramePr>
        <xdr:cNvPr id="318347290" name="Chart 6">
          <a:extLst>
            <a:ext uri="{FF2B5EF4-FFF2-40B4-BE49-F238E27FC236}">
              <a16:creationId xmlns:a16="http://schemas.microsoft.com/office/drawing/2014/main" id="{00000000-0008-0000-0300-00001A98F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 macro="">
      <xdr:nvGraphicFramePr>
        <xdr:cNvPr id="959273074" name="Chart 7">
          <a:extLst>
            <a:ext uri="{FF2B5EF4-FFF2-40B4-BE49-F238E27FC236}">
              <a16:creationId xmlns:a16="http://schemas.microsoft.com/office/drawing/2014/main" id="{00000000-0008-0000-0300-000072582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44" customWidth="1"/>
    <col min="2" max="2" width="28.5" customWidth="1"/>
    <col min="3" max="3" width="27.33203125" customWidth="1"/>
    <col min="4" max="4" width="25.83203125" customWidth="1"/>
    <col min="5" max="14" width="8.83203125" customWidth="1"/>
    <col min="15" max="15" width="14.5" customWidth="1"/>
    <col min="16" max="26" width="8.83203125" customWidth="1"/>
  </cols>
  <sheetData>
    <row r="1" spans="1:15" ht="31.5" customHeight="1" x14ac:dyDescent="0.2">
      <c r="A1" s="33" t="s">
        <v>0</v>
      </c>
      <c r="B1" s="34"/>
      <c r="C1" s="34"/>
      <c r="D1" s="34"/>
    </row>
    <row r="2" spans="1:15" ht="19.5" customHeight="1" x14ac:dyDescent="0.2">
      <c r="A2" s="1" t="s">
        <v>1</v>
      </c>
    </row>
    <row r="3" spans="1:15" x14ac:dyDescent="0.2">
      <c r="A3" s="2" t="s">
        <v>2</v>
      </c>
      <c r="B3" s="3" t="str">
        <f>TEXT(Pengaturan!B3,"dd mmm yyyy")&amp;" s/d "&amp;TEXT(Pengaturan!B4,"dd mmm yyyy")</f>
        <v>01 Sep 2025 s/d 12 Sep 2025</v>
      </c>
    </row>
    <row r="5" spans="1:15" x14ac:dyDescent="0.2">
      <c r="A5" s="4" t="s">
        <v>3</v>
      </c>
      <c r="B5" s="4" t="s">
        <v>4</v>
      </c>
      <c r="C5" s="4" t="s">
        <v>5</v>
      </c>
      <c r="D5" s="4" t="s">
        <v>6</v>
      </c>
      <c r="N5" s="2" t="s">
        <v>7</v>
      </c>
      <c r="O5" s="5">
        <f>IFERROR(B30,0)</f>
        <v>342069931</v>
      </c>
    </row>
    <row r="6" spans="1:15" ht="24" x14ac:dyDescent="0.2">
      <c r="A6" s="6">
        <f>Pengaturan!B10</f>
        <v>432670000</v>
      </c>
      <c r="B6" s="7">
        <f>SUM('Rekap Harian'!$F$6:$F$36)+SUM('Rekap Harian'!$I$6:$I$36)</f>
        <v>342069931</v>
      </c>
      <c r="C6" s="8">
        <f>A6-B6</f>
        <v>90600069</v>
      </c>
      <c r="D6" s="9">
        <f>IF(A6=0,0,B6/A6)</f>
        <v>0.79060237825594559</v>
      </c>
      <c r="N6" s="2" t="s">
        <v>8</v>
      </c>
      <c r="O6" s="5">
        <f>IFERROR(MAX(0,B31),0)</f>
        <v>90600069</v>
      </c>
    </row>
    <row r="8" spans="1:15" ht="16" x14ac:dyDescent="0.2">
      <c r="A8" s="10" t="s">
        <v>9</v>
      </c>
      <c r="N8" s="2" t="s">
        <v>10</v>
      </c>
      <c r="O8" s="5">
        <f>IFERROR(B44,0)</f>
        <v>89391050</v>
      </c>
    </row>
    <row r="9" spans="1:15" ht="19" x14ac:dyDescent="0.25">
      <c r="A9" s="2" t="s">
        <v>11</v>
      </c>
      <c r="B9" s="11">
        <f>IFERROR(B14/Pengaturan!B5,0)</f>
        <v>18449452.583333332</v>
      </c>
      <c r="N9" s="2" t="s">
        <v>12</v>
      </c>
      <c r="O9" s="5">
        <f>IFERROR(ABS(B45),0)</f>
        <v>64607481</v>
      </c>
    </row>
    <row r="10" spans="1:15" ht="19" x14ac:dyDescent="0.25">
      <c r="A10" s="2" t="s">
        <v>13</v>
      </c>
      <c r="B10" s="11">
        <f>Pengaturan!B13</f>
        <v>28234000</v>
      </c>
    </row>
    <row r="11" spans="1:15" x14ac:dyDescent="0.2">
      <c r="A11" s="2" t="s">
        <v>14</v>
      </c>
      <c r="B11" s="12">
        <f>B10-B9</f>
        <v>9784547.4166666679</v>
      </c>
      <c r="C11" s="13"/>
    </row>
    <row r="13" spans="1:15" ht="19" x14ac:dyDescent="0.25">
      <c r="A13" s="2" t="s">
        <v>15</v>
      </c>
      <c r="B13" s="11">
        <f>Pengaturan!B8</f>
        <v>282340000</v>
      </c>
    </row>
    <row r="14" spans="1:15" x14ac:dyDescent="0.2">
      <c r="A14" s="2" t="s">
        <v>16</v>
      </c>
      <c r="B14" s="5">
        <f>SUM('Rekap Harian'!$F$6:$F$36)</f>
        <v>221393431</v>
      </c>
    </row>
    <row r="15" spans="1:15" x14ac:dyDescent="0.2">
      <c r="A15" s="2" t="s">
        <v>17</v>
      </c>
      <c r="B15" s="12">
        <f>B13-B14</f>
        <v>60946569</v>
      </c>
    </row>
    <row r="16" spans="1:15" x14ac:dyDescent="0.2">
      <c r="A16" s="2" t="s">
        <v>18</v>
      </c>
      <c r="B16" s="14">
        <f>IF(B13=0,0,B14/B13)</f>
        <v>0.78413767443507831</v>
      </c>
    </row>
    <row r="18" spans="1:4" ht="16" x14ac:dyDescent="0.2">
      <c r="A18" s="15" t="s">
        <v>19</v>
      </c>
      <c r="D18" s="16"/>
    </row>
    <row r="19" spans="1:4" ht="19" x14ac:dyDescent="0.25">
      <c r="A19" s="2" t="s">
        <v>20</v>
      </c>
      <c r="B19" s="11">
        <f>IFERROR(B24/Pengaturan!B5,0)</f>
        <v>10056375</v>
      </c>
    </row>
    <row r="20" spans="1:4" ht="19" x14ac:dyDescent="0.25">
      <c r="A20" s="2" t="s">
        <v>21</v>
      </c>
      <c r="B20" s="11">
        <f>Pengaturan!B14</f>
        <v>12527500</v>
      </c>
    </row>
    <row r="21" spans="1:4" ht="15.75" customHeight="1" x14ac:dyDescent="0.2">
      <c r="A21" s="2" t="s">
        <v>22</v>
      </c>
      <c r="B21" s="12">
        <f>B20-B19</f>
        <v>2471125</v>
      </c>
      <c r="C21" s="13"/>
    </row>
    <row r="22" spans="1:4" ht="15.75" customHeight="1" x14ac:dyDescent="0.2"/>
    <row r="23" spans="1:4" ht="15.75" customHeight="1" x14ac:dyDescent="0.25">
      <c r="A23" s="2" t="s">
        <v>23</v>
      </c>
      <c r="B23" s="11">
        <f>Pengaturan!B9</f>
        <v>150330000</v>
      </c>
    </row>
    <row r="24" spans="1:4" ht="15.75" customHeight="1" x14ac:dyDescent="0.2">
      <c r="A24" s="2" t="s">
        <v>24</v>
      </c>
      <c r="B24" s="5">
        <f>SUM('Rekap Harian'!$I$6:$I$36)</f>
        <v>120676500</v>
      </c>
    </row>
    <row r="25" spans="1:4" ht="15.75" customHeight="1" x14ac:dyDescent="0.2">
      <c r="A25" s="2" t="s">
        <v>25</v>
      </c>
      <c r="B25" s="12">
        <f>B23-B24</f>
        <v>29653500</v>
      </c>
    </row>
    <row r="26" spans="1:4" ht="15.75" customHeight="1" x14ac:dyDescent="0.2">
      <c r="A26" s="2" t="s">
        <v>26</v>
      </c>
      <c r="B26" s="14">
        <f>IF(B23=0,0,B24/B23)</f>
        <v>0.80274396328078224</v>
      </c>
    </row>
    <row r="27" spans="1:4" ht="15.75" customHeight="1" x14ac:dyDescent="0.2"/>
    <row r="28" spans="1:4" ht="15.75" customHeight="1" x14ac:dyDescent="0.2">
      <c r="A28" s="17" t="s">
        <v>27</v>
      </c>
    </row>
    <row r="29" spans="1:4" ht="15.75" customHeight="1" x14ac:dyDescent="0.25">
      <c r="A29" s="2" t="s">
        <v>28</v>
      </c>
      <c r="B29" s="11">
        <f t="shared" ref="B29:B30" si="0">B13+B23</f>
        <v>432670000</v>
      </c>
    </row>
    <row r="30" spans="1:4" ht="15.75" customHeight="1" x14ac:dyDescent="0.25">
      <c r="A30" s="2" t="s">
        <v>29</v>
      </c>
      <c r="B30" s="11">
        <f t="shared" si="0"/>
        <v>342069931</v>
      </c>
    </row>
    <row r="31" spans="1:4" ht="15.75" customHeight="1" x14ac:dyDescent="0.2">
      <c r="A31" s="2" t="s">
        <v>30</v>
      </c>
      <c r="B31" s="18">
        <f>B29-B30</f>
        <v>90600069</v>
      </c>
    </row>
    <row r="32" spans="1:4" ht="15.75" customHeight="1" x14ac:dyDescent="0.2">
      <c r="A32" s="2" t="s">
        <v>31</v>
      </c>
      <c r="B32" s="14">
        <f>IF(B29=0,0,B30/B29)</f>
        <v>0.79060237825594559</v>
      </c>
    </row>
    <row r="33" spans="1:3" ht="15.75" customHeight="1" x14ac:dyDescent="0.2"/>
    <row r="34" spans="1:3" ht="15.75" customHeight="1" x14ac:dyDescent="0.25">
      <c r="A34" s="2" t="s">
        <v>32</v>
      </c>
      <c r="B34" s="11">
        <f>B9+B19</f>
        <v>28505827.583333332</v>
      </c>
    </row>
    <row r="35" spans="1:3" ht="15.75" customHeight="1" x14ac:dyDescent="0.25">
      <c r="A35" s="2" t="s">
        <v>33</v>
      </c>
      <c r="B35" s="11">
        <f>Pengaturan!B15</f>
        <v>40761500</v>
      </c>
    </row>
    <row r="36" spans="1:3" ht="15.75" customHeight="1" x14ac:dyDescent="0.2">
      <c r="A36" s="2" t="s">
        <v>34</v>
      </c>
      <c r="B36" s="12">
        <f>B35-B34</f>
        <v>12255672.416666668</v>
      </c>
      <c r="C36" s="13" t="s">
        <v>35</v>
      </c>
    </row>
    <row r="37" spans="1:3" ht="15.75" customHeight="1" x14ac:dyDescent="0.2"/>
    <row r="38" spans="1:3" ht="15.75" customHeight="1" x14ac:dyDescent="0.2">
      <c r="A38" s="15" t="s">
        <v>36</v>
      </c>
    </row>
    <row r="39" spans="1:3" ht="15.75" customHeight="1" x14ac:dyDescent="0.2">
      <c r="A39" s="2" t="s">
        <v>37</v>
      </c>
      <c r="B39" s="3">
        <f>COUNTIF('Rekap Harian'!N6:N36,"SURPLUS")</f>
        <v>7</v>
      </c>
    </row>
    <row r="40" spans="1:3" ht="15.75" customHeight="1" x14ac:dyDescent="0.2">
      <c r="A40" s="2" t="s">
        <v>38</v>
      </c>
      <c r="B40" s="3">
        <f>COUNTIF('Rekap Harian'!N6:N36,"DEFISIT")</f>
        <v>2</v>
      </c>
    </row>
    <row r="41" spans="1:3" ht="15.75" customHeight="1" x14ac:dyDescent="0.2">
      <c r="A41" s="2" t="s">
        <v>39</v>
      </c>
      <c r="B41" s="3">
        <f>COUNTIF('Rekap Harian'!N6:N36,"AMAN")</f>
        <v>3</v>
      </c>
    </row>
    <row r="42" spans="1:3" ht="15.75" customHeight="1" x14ac:dyDescent="0.2">
      <c r="A42" s="2" t="s">
        <v>40</v>
      </c>
      <c r="B42" s="3">
        <f>COUNTIF('Rekap Harian'!N6:N36,"BELUM")</f>
        <v>0</v>
      </c>
    </row>
    <row r="43" spans="1:3" ht="15.75" customHeight="1" x14ac:dyDescent="0.2"/>
    <row r="44" spans="1:3" ht="15.75" customHeight="1" x14ac:dyDescent="0.2">
      <c r="A44" s="2" t="s">
        <v>41</v>
      </c>
      <c r="B44" s="19">
        <f>SUMIF('Rekap Harian'!M6:M36,"&gt;0")</f>
        <v>89391050</v>
      </c>
    </row>
    <row r="45" spans="1:3" ht="15.75" customHeight="1" x14ac:dyDescent="0.2">
      <c r="A45" s="2" t="s">
        <v>42</v>
      </c>
      <c r="B45" s="5">
        <f>SUMIF('Rekap Harian'!M6:M36,"&lt;0")</f>
        <v>-64607481</v>
      </c>
    </row>
    <row r="46" spans="1:3" ht="15.75" customHeight="1" x14ac:dyDescent="0.2">
      <c r="A46" s="2" t="s">
        <v>43</v>
      </c>
      <c r="B46" s="18">
        <f>B44+B45</f>
        <v>24783569</v>
      </c>
    </row>
    <row r="47" spans="1:3" ht="21" customHeight="1" x14ac:dyDescent="0.2">
      <c r="A47" s="2" t="s">
        <v>44</v>
      </c>
      <c r="B47" s="14">
        <f>IFERROR(B46/SUM('Rekap Harian'!$K$6:$K$36),0)</f>
        <v>0</v>
      </c>
    </row>
    <row r="48" spans="1:3" ht="15.75" customHeight="1" x14ac:dyDescent="0.2">
      <c r="A48" s="2" t="s">
        <v>45</v>
      </c>
      <c r="B48" s="5">
        <f>MAX('Rekap Harian'!L6:L36)</f>
        <v>103026181</v>
      </c>
    </row>
    <row r="49" spans="1:2" ht="15.75" customHeight="1" x14ac:dyDescent="0.2">
      <c r="A49" s="2" t="s">
        <v>46</v>
      </c>
      <c r="B49" s="19">
        <f ca="1">IFERROR(_xludf.MINIFS('Rekap Harian'!L6:L36,'Rekap Harian'!L6:L36,"&gt;0"),0)</f>
        <v>0</v>
      </c>
    </row>
    <row r="50" spans="1:2" ht="15.75" customHeight="1" x14ac:dyDescent="0.2"/>
    <row r="51" spans="1:2" ht="15.75" customHeight="1" x14ac:dyDescent="0.2">
      <c r="A51" s="2" t="s">
        <v>47</v>
      </c>
    </row>
    <row r="52" spans="1:2" ht="15.75" customHeight="1" x14ac:dyDescent="0.2">
      <c r="A52" s="13" t="s">
        <v>48</v>
      </c>
    </row>
    <row r="53" spans="1:2" ht="15.75" customHeight="1" x14ac:dyDescent="0.2">
      <c r="A53" s="13" t="s">
        <v>49</v>
      </c>
    </row>
    <row r="54" spans="1:2" ht="15.75" customHeight="1" x14ac:dyDescent="0.2">
      <c r="A54" s="13" t="s">
        <v>50</v>
      </c>
    </row>
    <row r="55" spans="1:2" ht="15.75" customHeight="1" x14ac:dyDescent="0.2">
      <c r="A55" s="13" t="s">
        <v>51</v>
      </c>
    </row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1000"/>
  <sheetViews>
    <sheetView tabSelected="1" zoomScale="20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6" sqref="G6"/>
    </sheetView>
  </sheetViews>
  <sheetFormatPr baseColWidth="10" defaultColWidth="14.5" defaultRowHeight="15" customHeight="1" x14ac:dyDescent="0.2"/>
  <cols>
    <col min="1" max="1" width="5" customWidth="1"/>
    <col min="2" max="2" width="27.33203125" customWidth="1"/>
    <col min="3" max="3" width="15.5" customWidth="1"/>
    <col min="4" max="4" width="8.6640625" customWidth="1"/>
    <col min="5" max="7" width="16" customWidth="1"/>
    <col min="8" max="8" width="17.6640625" customWidth="1"/>
    <col min="9" max="9" width="21.33203125" customWidth="1"/>
    <col min="10" max="10" width="19.1640625" customWidth="1"/>
    <col min="11" max="11" width="14.5" customWidth="1"/>
    <col min="12" max="12" width="16" customWidth="1"/>
    <col min="13" max="13" width="18" customWidth="1"/>
    <col min="14" max="14" width="14" customWidth="1"/>
    <col min="15" max="15" width="31.6640625" customWidth="1"/>
    <col min="16" max="16" width="13.5" customWidth="1"/>
    <col min="17" max="26" width="8.83203125" customWidth="1"/>
  </cols>
  <sheetData>
    <row r="1" spans="1:16" ht="31.5" customHeight="1" x14ac:dyDescent="0.2">
      <c r="A1" s="33" t="s">
        <v>52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6" ht="19.5" customHeight="1" x14ac:dyDescent="0.2">
      <c r="A2" s="1" t="s">
        <v>53</v>
      </c>
    </row>
    <row r="3" spans="1:16" x14ac:dyDescent="0.2">
      <c r="A3" s="2" t="s">
        <v>2</v>
      </c>
      <c r="B3" s="3" t="str">
        <f>TEXT(Pengaturan!B3,"dd mmm yyyy")&amp;" s/d "&amp;TEXT(Pengaturan!B4,"dd mmm yyyy")</f>
        <v>01 Sep 2025 s/d 12 Sep 2025</v>
      </c>
    </row>
    <row r="5" spans="1:16" ht="16" x14ac:dyDescent="0.2">
      <c r="A5" s="17" t="s">
        <v>54</v>
      </c>
      <c r="B5" s="17" t="s">
        <v>55</v>
      </c>
      <c r="C5" s="17" t="s">
        <v>56</v>
      </c>
      <c r="D5" s="17" t="s">
        <v>57</v>
      </c>
      <c r="E5" s="10" t="s">
        <v>58</v>
      </c>
      <c r="F5" s="10" t="s">
        <v>59</v>
      </c>
      <c r="G5" s="10" t="s">
        <v>60</v>
      </c>
      <c r="H5" s="15" t="s">
        <v>61</v>
      </c>
      <c r="I5" s="15" t="s">
        <v>62</v>
      </c>
      <c r="J5" s="15" t="s">
        <v>63</v>
      </c>
      <c r="K5" s="17" t="s">
        <v>64</v>
      </c>
      <c r="L5" s="17" t="s">
        <v>65</v>
      </c>
      <c r="M5" s="17" t="s">
        <v>66</v>
      </c>
      <c r="N5" s="17" t="s">
        <v>67</v>
      </c>
      <c r="O5" s="17" t="s">
        <v>68</v>
      </c>
      <c r="P5" s="17" t="s">
        <v>69</v>
      </c>
    </row>
    <row r="6" spans="1:16" x14ac:dyDescent="0.2">
      <c r="A6" s="3">
        <v>1</v>
      </c>
      <c r="B6" s="20">
        <f>IF(Pengaturan!$B$3+0&gt;Pengaturan!$B$4,"",Pengaturan!$B$3+0)</f>
        <v>45901</v>
      </c>
      <c r="C6" s="3" t="str">
        <f t="shared" ref="C6:C36" si="0">IF(B6="","",TEXT(B6,"dddd"))</f>
        <v>Senin</v>
      </c>
      <c r="D6" s="3">
        <f>IF(B6="","",INT((B6-Pengaturan!$B$3)/7)+1)</f>
        <v>1</v>
      </c>
      <c r="E6" s="21">
        <f>IFERROR(VLOOKUP(B6,'Pagu Harian'!$A$4:$D$40,2,FALSE),Pengaturan!$B$13)</f>
        <v>28234000</v>
      </c>
      <c r="F6" s="21">
        <v>31728300</v>
      </c>
      <c r="G6" s="12">
        <f t="shared" ref="G6:G9" si="1">IF(B6="",0,E6-IF(F6="",0,F6))</f>
        <v>-3494300</v>
      </c>
      <c r="H6" s="21">
        <f>IFERROR(VLOOKUP(B6,'Pagu Harian'!$A$4:$D$40,3,FALSE),Pengaturan!$B$14)</f>
        <v>12527500</v>
      </c>
      <c r="I6" s="21">
        <f>5656000+5720000</f>
        <v>11376000</v>
      </c>
      <c r="J6" s="12">
        <f t="shared" ref="J6:J9" si="2">IF(B6="",0,H6-IF(I6="",0,I6))</f>
        <v>1151500</v>
      </c>
      <c r="K6" s="22">
        <f t="shared" ref="K6:K9" si="3">E6+H6</f>
        <v>40761500</v>
      </c>
      <c r="L6" s="22">
        <f t="shared" ref="L6:L36" si="4">IF(F6="",0,F6)+IF(I6="",0,I6)</f>
        <v>43104300</v>
      </c>
      <c r="M6" s="12">
        <f t="shared" ref="M6:M9" si="5">K6-L6</f>
        <v>-2342800</v>
      </c>
      <c r="N6" s="23" t="str">
        <f t="shared" ref="N6:N36" si="6">IF(B6="","",IF(AND(F6="",I6=""),"BELUM",IF(M6&gt;0,"SURPLUS",IF(M6&lt;0,"DEFISIT","AMAN"))))</f>
        <v>DEFISIT</v>
      </c>
      <c r="O6" s="24" t="s">
        <v>70</v>
      </c>
    </row>
    <row r="7" spans="1:16" x14ac:dyDescent="0.2">
      <c r="A7" s="3">
        <v>2</v>
      </c>
      <c r="B7" s="20">
        <f>IF(Pengaturan!$B$3+1&gt;Pengaturan!$B$4,"",Pengaturan!$B$3+1)</f>
        <v>45902</v>
      </c>
      <c r="C7" s="3" t="str">
        <f t="shared" si="0"/>
        <v>Selasa</v>
      </c>
      <c r="D7" s="3">
        <f>IF(B7="","",INT((B7-Pengaturan!$B$3)/7)+1)</f>
        <v>1</v>
      </c>
      <c r="E7" s="21">
        <f>IFERROR(VLOOKUP(B7,'Pagu Harian'!$A$4:$D$40,2,FALSE),Pengaturan!$B$13)</f>
        <v>28234000</v>
      </c>
      <c r="F7" s="21">
        <v>29861200</v>
      </c>
      <c r="G7" s="12">
        <f t="shared" si="1"/>
        <v>-1627200</v>
      </c>
      <c r="H7" s="21">
        <f>IFERROR(VLOOKUP(B7,'Pagu Harian'!$A$4:$D$40,3,FALSE),Pengaturan!$B$14)</f>
        <v>12527500</v>
      </c>
      <c r="I7" s="21">
        <v>1033500</v>
      </c>
      <c r="J7" s="12">
        <f t="shared" si="2"/>
        <v>11494000</v>
      </c>
      <c r="K7" s="22">
        <f t="shared" si="3"/>
        <v>40761500</v>
      </c>
      <c r="L7" s="22">
        <f t="shared" si="4"/>
        <v>30894700</v>
      </c>
      <c r="M7" s="12">
        <f t="shared" si="5"/>
        <v>9866800</v>
      </c>
      <c r="N7" s="23" t="str">
        <f t="shared" si="6"/>
        <v>SURPLUS</v>
      </c>
      <c r="O7" s="24" t="s">
        <v>71</v>
      </c>
    </row>
    <row r="8" spans="1:16" x14ac:dyDescent="0.2">
      <c r="A8" s="3">
        <v>3</v>
      </c>
      <c r="B8" s="20">
        <f>IF(Pengaturan!$B$3+2&gt;Pengaturan!$B$4,"",Pengaturan!$B$3+2)</f>
        <v>45903</v>
      </c>
      <c r="C8" s="3" t="str">
        <f t="shared" si="0"/>
        <v>Rabu</v>
      </c>
      <c r="D8" s="3">
        <f>IF(B8="","",INT((B8-Pengaturan!$B$3)/7)+1)</f>
        <v>1</v>
      </c>
      <c r="E8" s="21">
        <f>IFERROR(VLOOKUP(B8,'Pagu Harian'!$A$4:$D$40,2,FALSE),Pengaturan!$B$13)</f>
        <v>28234000</v>
      </c>
      <c r="F8" s="21">
        <v>27381000</v>
      </c>
      <c r="G8" s="12">
        <f t="shared" si="1"/>
        <v>853000</v>
      </c>
      <c r="H8" s="21">
        <f>IFERROR(VLOOKUP(B8,'Pagu Harian'!$A$4:$D$40,3,FALSE),Pengaturan!$B$14)</f>
        <v>12527500</v>
      </c>
      <c r="I8" s="21">
        <v>2768000</v>
      </c>
      <c r="J8" s="12">
        <f t="shared" si="2"/>
        <v>9759500</v>
      </c>
      <c r="K8" s="22">
        <f t="shared" si="3"/>
        <v>40761500</v>
      </c>
      <c r="L8" s="22">
        <f t="shared" si="4"/>
        <v>30149000</v>
      </c>
      <c r="M8" s="12">
        <f t="shared" si="5"/>
        <v>10612500</v>
      </c>
      <c r="N8" s="23" t="str">
        <f t="shared" si="6"/>
        <v>SURPLUS</v>
      </c>
      <c r="O8" s="24" t="s">
        <v>71</v>
      </c>
    </row>
    <row r="9" spans="1:16" x14ac:dyDescent="0.2">
      <c r="A9" s="3">
        <v>4</v>
      </c>
      <c r="B9" s="20">
        <f>IF(Pengaturan!$B$3+3&gt;Pengaturan!$B$4,"",Pengaturan!$B$3+3)</f>
        <v>45904</v>
      </c>
      <c r="C9" s="3" t="str">
        <f t="shared" si="0"/>
        <v>Kamis</v>
      </c>
      <c r="D9" s="3">
        <f>IF(B9="","",INT((B9-Pengaturan!$B$3)/7)+1)</f>
        <v>1</v>
      </c>
      <c r="E9" s="21">
        <f>IFERROR(VLOOKUP(B9,'Pagu Harian'!$A$4:$D$40,2,FALSE),Pengaturan!$B$13)</f>
        <v>28234000</v>
      </c>
      <c r="F9" s="21">
        <v>20791000</v>
      </c>
      <c r="G9" s="12">
        <f t="shared" si="1"/>
        <v>7443000</v>
      </c>
      <c r="H9" s="21">
        <f>IFERROR(VLOOKUP(B9,'Pagu Harian'!$A$4:$D$40,3,FALSE),Pengaturan!$B$14)</f>
        <v>12527500</v>
      </c>
      <c r="I9" s="21">
        <f>17720000+530000</f>
        <v>18250000</v>
      </c>
      <c r="J9" s="12">
        <f t="shared" si="2"/>
        <v>-5722500</v>
      </c>
      <c r="K9" s="22">
        <f t="shared" si="3"/>
        <v>40761500</v>
      </c>
      <c r="L9" s="22">
        <f t="shared" si="4"/>
        <v>39041000</v>
      </c>
      <c r="M9" s="12">
        <f t="shared" si="5"/>
        <v>1720500</v>
      </c>
      <c r="N9" s="23" t="str">
        <f t="shared" si="6"/>
        <v>SURPLUS</v>
      </c>
      <c r="O9" s="24" t="s">
        <v>70</v>
      </c>
    </row>
    <row r="10" spans="1:16" x14ac:dyDescent="0.2">
      <c r="A10" s="3">
        <v>5</v>
      </c>
      <c r="B10" s="20">
        <f>IF(Pengaturan!$B$3+4&gt;Pengaturan!$B$4,"",Pengaturan!$B$3+4)</f>
        <v>45905</v>
      </c>
      <c r="C10" s="3" t="str">
        <f t="shared" si="0"/>
        <v>Jumat</v>
      </c>
      <c r="D10" s="3">
        <f>IF(B10="","",INT((B10-Pengaturan!$B$3)/7)+1)</f>
        <v>1</v>
      </c>
      <c r="E10" s="21">
        <v>0</v>
      </c>
      <c r="F10" s="21">
        <v>0</v>
      </c>
      <c r="G10" s="12">
        <v>0</v>
      </c>
      <c r="H10" s="21">
        <v>0</v>
      </c>
      <c r="I10" s="21">
        <v>0</v>
      </c>
      <c r="J10" s="12">
        <v>0</v>
      </c>
      <c r="K10" s="22">
        <v>0</v>
      </c>
      <c r="L10" s="22">
        <f t="shared" si="4"/>
        <v>0</v>
      </c>
      <c r="M10" s="12">
        <v>0</v>
      </c>
      <c r="N10" s="23" t="str">
        <f t="shared" si="6"/>
        <v>AMAN</v>
      </c>
      <c r="P10" s="24" t="s">
        <v>72</v>
      </c>
    </row>
    <row r="11" spans="1:16" x14ac:dyDescent="0.2">
      <c r="A11" s="3">
        <v>6</v>
      </c>
      <c r="B11" s="20">
        <f>IF(Pengaturan!$B$3+5&gt;Pengaturan!$B$4,"",Pengaturan!$B$3+5)</f>
        <v>45906</v>
      </c>
      <c r="C11" s="3" t="str">
        <f t="shared" si="0"/>
        <v>Sabtu</v>
      </c>
      <c r="D11" s="3">
        <f>IF(B11="","",INT((B11-Pengaturan!$B$3)/7)+1)</f>
        <v>1</v>
      </c>
      <c r="E11" s="21">
        <v>0</v>
      </c>
      <c r="F11" s="21">
        <v>0</v>
      </c>
      <c r="G11" s="12">
        <v>0</v>
      </c>
      <c r="H11" s="21">
        <v>0</v>
      </c>
      <c r="I11" s="21">
        <v>0</v>
      </c>
      <c r="J11" s="12">
        <v>0</v>
      </c>
      <c r="K11" s="22">
        <v>0</v>
      </c>
      <c r="L11" s="22">
        <f t="shared" si="4"/>
        <v>0</v>
      </c>
      <c r="M11" s="12">
        <v>0</v>
      </c>
      <c r="N11" s="23" t="str">
        <f t="shared" si="6"/>
        <v>AMAN</v>
      </c>
      <c r="P11" s="24" t="s">
        <v>72</v>
      </c>
    </row>
    <row r="12" spans="1:16" x14ac:dyDescent="0.2">
      <c r="A12" s="3">
        <v>7</v>
      </c>
      <c r="B12" s="20">
        <f>IF(Pengaturan!$B$3+6&gt;Pengaturan!$B$4,"",Pengaturan!$B$3+6)</f>
        <v>45907</v>
      </c>
      <c r="C12" s="3" t="str">
        <f t="shared" si="0"/>
        <v>Minggu</v>
      </c>
      <c r="D12" s="3">
        <f>IF(B12="","",INT((B12-Pengaturan!$B$3)/7)+1)</f>
        <v>1</v>
      </c>
      <c r="E12" s="21">
        <v>0</v>
      </c>
      <c r="F12" s="21">
        <v>0</v>
      </c>
      <c r="G12" s="12">
        <v>0</v>
      </c>
      <c r="H12" s="21">
        <v>0</v>
      </c>
      <c r="I12" s="21">
        <v>0</v>
      </c>
      <c r="J12" s="12">
        <v>0</v>
      </c>
      <c r="K12" s="22">
        <v>0</v>
      </c>
      <c r="L12" s="22">
        <f t="shared" si="4"/>
        <v>0</v>
      </c>
      <c r="M12" s="12">
        <v>0</v>
      </c>
      <c r="N12" s="23" t="str">
        <f t="shared" si="6"/>
        <v>AMAN</v>
      </c>
      <c r="P12" s="24" t="s">
        <v>72</v>
      </c>
    </row>
    <row r="13" spans="1:16" x14ac:dyDescent="0.2">
      <c r="A13" s="3">
        <v>8</v>
      </c>
      <c r="B13" s="20">
        <f>IF(Pengaturan!$B$3+7&gt;Pengaturan!$B$4,"",Pengaturan!$B$3+7)</f>
        <v>45908</v>
      </c>
      <c r="C13" s="3" t="str">
        <f t="shared" si="0"/>
        <v>Senin</v>
      </c>
      <c r="D13" s="3">
        <f>IF(B13="","",INT((B13-Pengaturan!$B$3)/7)+1)</f>
        <v>2</v>
      </c>
      <c r="E13" s="21">
        <f>IFERROR(VLOOKUP(B13,'Pagu Harian'!$A$4:$D$40,2,FALSE),Pengaturan!$B$13)</f>
        <v>28234000</v>
      </c>
      <c r="F13" s="25">
        <v>23935050</v>
      </c>
      <c r="G13" s="26">
        <f t="shared" ref="G13:G36" si="7">IF(B13="",0,E13-IF(F13="",0,F13))</f>
        <v>4298950</v>
      </c>
      <c r="H13" s="27">
        <f>IFERROR(VLOOKUP(B13,'Pagu Harian'!$A$4:$D$40,3,FALSE),Pengaturan!$B$14)</f>
        <v>12527500</v>
      </c>
      <c r="I13" s="25">
        <v>5534000</v>
      </c>
      <c r="J13" s="12">
        <f t="shared" ref="J13:J36" si="8">IF(B13="",0,H13-IF(I13="",0,I13))</f>
        <v>6993500</v>
      </c>
      <c r="K13" s="22">
        <f t="shared" ref="K13:K36" si="9">E13+H13</f>
        <v>40761500</v>
      </c>
      <c r="L13" s="22">
        <f t="shared" si="4"/>
        <v>29469050</v>
      </c>
      <c r="M13" s="12">
        <f t="shared" ref="M13:M36" si="10">K13-L13</f>
        <v>11292450</v>
      </c>
      <c r="N13" s="23" t="str">
        <f t="shared" si="6"/>
        <v>SURPLUS</v>
      </c>
    </row>
    <row r="14" spans="1:16" x14ac:dyDescent="0.2">
      <c r="A14" s="3">
        <v>9</v>
      </c>
      <c r="B14" s="20">
        <f>IF(Pengaturan!$B$3+8&gt;Pengaturan!$B$4,"",Pengaturan!$B$3+8)</f>
        <v>45909</v>
      </c>
      <c r="C14" s="3" t="str">
        <f t="shared" si="0"/>
        <v>Selasa</v>
      </c>
      <c r="D14" s="3">
        <f>IF(B14="","",INT((B14-Pengaturan!$B$3)/7)+1)</f>
        <v>2</v>
      </c>
      <c r="E14" s="21">
        <f>IFERROR(VLOOKUP(B14,'Pagu Harian'!$A$4:$D$40,2,FALSE),Pengaturan!$B$13)</f>
        <v>28234000</v>
      </c>
      <c r="F14" s="25">
        <v>22762300</v>
      </c>
      <c r="G14" s="26">
        <f t="shared" si="7"/>
        <v>5471700</v>
      </c>
      <c r="H14" s="27">
        <f>IFERROR(VLOOKUP(B14,'Pagu Harian'!$A$4:$D$40,3,FALSE),Pengaturan!$B$14)</f>
        <v>12527500</v>
      </c>
      <c r="I14" s="25">
        <v>0</v>
      </c>
      <c r="J14" s="12">
        <f t="shared" si="8"/>
        <v>12527500</v>
      </c>
      <c r="K14" s="22">
        <f t="shared" si="9"/>
        <v>40761500</v>
      </c>
      <c r="L14" s="22">
        <f t="shared" si="4"/>
        <v>22762300</v>
      </c>
      <c r="M14" s="12">
        <f t="shared" si="10"/>
        <v>17999200</v>
      </c>
      <c r="N14" s="23" t="str">
        <f t="shared" si="6"/>
        <v>SURPLUS</v>
      </c>
    </row>
    <row r="15" spans="1:16" x14ac:dyDescent="0.2">
      <c r="A15" s="3">
        <v>10</v>
      </c>
      <c r="B15" s="20">
        <f>IF(Pengaturan!$B$3+9&gt;Pengaturan!$B$4,"",Pengaturan!$B$3+9)</f>
        <v>45910</v>
      </c>
      <c r="C15" s="3" t="str">
        <f t="shared" si="0"/>
        <v>Rabu</v>
      </c>
      <c r="D15" s="3">
        <f>IF(B15="","",INT((B15-Pengaturan!$B$3)/7)+1)</f>
        <v>2</v>
      </c>
      <c r="E15" s="21">
        <f>IFERROR(VLOOKUP(B15,'Pagu Harian'!$A$4:$D$40,2,FALSE),Pengaturan!$B$13)</f>
        <v>28234000</v>
      </c>
      <c r="F15" s="25">
        <v>16132300</v>
      </c>
      <c r="G15" s="26">
        <f t="shared" si="7"/>
        <v>12101700</v>
      </c>
      <c r="H15" s="27">
        <f>IFERROR(VLOOKUP(B15,'Pagu Harian'!$A$4:$D$40,3,FALSE),Pengaturan!$B$14)</f>
        <v>12527500</v>
      </c>
      <c r="I15" s="25">
        <v>1820000</v>
      </c>
      <c r="J15" s="12">
        <f t="shared" si="8"/>
        <v>10707500</v>
      </c>
      <c r="K15" s="22">
        <f t="shared" si="9"/>
        <v>40761500</v>
      </c>
      <c r="L15" s="22">
        <f t="shared" si="4"/>
        <v>17952300</v>
      </c>
      <c r="M15" s="12">
        <f t="shared" si="10"/>
        <v>22809200</v>
      </c>
      <c r="N15" s="23" t="str">
        <f t="shared" si="6"/>
        <v>SURPLUS</v>
      </c>
    </row>
    <row r="16" spans="1:16" x14ac:dyDescent="0.2">
      <c r="A16" s="3">
        <v>11</v>
      </c>
      <c r="B16" s="20">
        <f>IF(Pengaturan!$B$3+10&gt;Pengaturan!$B$4,"",Pengaturan!$B$3+10)</f>
        <v>45911</v>
      </c>
      <c r="C16" s="3" t="str">
        <f t="shared" si="0"/>
        <v>Kamis</v>
      </c>
      <c r="D16" s="3">
        <f>IF(B16="","",INT((B16-Pengaturan!$B$3)/7)+1)</f>
        <v>2</v>
      </c>
      <c r="E16" s="21">
        <f>IFERROR(VLOOKUP(B16,'Pagu Harian'!$A$4:$D$40,2,FALSE),Pengaturan!$B$13)</f>
        <v>28234000</v>
      </c>
      <c r="F16" s="25">
        <v>23274600</v>
      </c>
      <c r="G16" s="26">
        <f t="shared" si="7"/>
        <v>4959400</v>
      </c>
      <c r="H16" s="27">
        <f>IFERROR(VLOOKUP(B16,'Pagu Harian'!$A$4:$D$40,3,FALSE),Pengaturan!$B$14)</f>
        <v>12527500</v>
      </c>
      <c r="I16" s="25">
        <v>2396500</v>
      </c>
      <c r="J16" s="12">
        <f t="shared" si="8"/>
        <v>10131000</v>
      </c>
      <c r="K16" s="22">
        <f t="shared" si="9"/>
        <v>40761500</v>
      </c>
      <c r="L16" s="22">
        <f t="shared" si="4"/>
        <v>25671100</v>
      </c>
      <c r="M16" s="12">
        <f t="shared" si="10"/>
        <v>15090400</v>
      </c>
      <c r="N16" s="23" t="str">
        <f t="shared" si="6"/>
        <v>SURPLUS</v>
      </c>
    </row>
    <row r="17" spans="1:15" x14ac:dyDescent="0.2">
      <c r="A17" s="3">
        <v>12</v>
      </c>
      <c r="B17" s="20">
        <f>IF(Pengaturan!$B$3+11&gt;Pengaturan!$B$4,"",Pengaturan!$B$3+11)</f>
        <v>45912</v>
      </c>
      <c r="C17" s="3" t="str">
        <f t="shared" si="0"/>
        <v>Jumat</v>
      </c>
      <c r="D17" s="3">
        <f>IF(B17="","",INT((B17-Pengaturan!$B$3)/7)+1)</f>
        <v>2</v>
      </c>
      <c r="E17" s="21">
        <f>IFERROR(VLOOKUP(B17,'Pagu Harian'!$A$4:$D$40,2,FALSE),Pengaturan!$B$13)</f>
        <v>28234000</v>
      </c>
      <c r="F17" s="25">
        <v>25527681</v>
      </c>
      <c r="G17" s="26">
        <f t="shared" si="7"/>
        <v>2706319</v>
      </c>
      <c r="H17" s="27">
        <f>IFERROR(VLOOKUP(B17,'Pagu Harian'!$A$4:$D$40,3,FALSE),Pengaturan!$B$14)</f>
        <v>12527500</v>
      </c>
      <c r="I17" s="25">
        <f>2738500+30090000+44670000</f>
        <v>77498500</v>
      </c>
      <c r="J17" s="12">
        <f t="shared" si="8"/>
        <v>-64971000</v>
      </c>
      <c r="K17" s="22">
        <f t="shared" si="9"/>
        <v>40761500</v>
      </c>
      <c r="L17" s="22">
        <f t="shared" si="4"/>
        <v>103026181</v>
      </c>
      <c r="M17" s="12">
        <f t="shared" si="10"/>
        <v>-62264681</v>
      </c>
      <c r="N17" s="23" t="str">
        <f t="shared" si="6"/>
        <v>DEFISIT</v>
      </c>
      <c r="O17" s="24" t="s">
        <v>73</v>
      </c>
    </row>
    <row r="18" spans="1:15" x14ac:dyDescent="0.2">
      <c r="A18" s="3">
        <v>13</v>
      </c>
      <c r="B18" s="20" t="str">
        <f>IF(Pengaturan!$B$3+12&gt;Pengaturan!$B$4,"",Pengaturan!$B$3+12)</f>
        <v/>
      </c>
      <c r="C18" s="3" t="str">
        <f t="shared" si="0"/>
        <v/>
      </c>
      <c r="D18" s="3" t="str">
        <f>IF(B18="","",INT((B18-Pengaturan!$B$3)/7)+1)</f>
        <v/>
      </c>
      <c r="E18" s="21" t="str">
        <f>IFERROR(VLOOKUP(B18,'Pagu Harian'!$A$4:$D$40,2,FALSE),Pengaturan!$B$13)</f>
        <v/>
      </c>
      <c r="G18" s="12">
        <f t="shared" si="7"/>
        <v>0</v>
      </c>
      <c r="H18" s="21" t="str">
        <f>IFERROR(VLOOKUP(B18,'Pagu Harian'!$A$4:$D$40,3,FALSE),Pengaturan!$B$14)</f>
        <v/>
      </c>
      <c r="J18" s="12">
        <f t="shared" si="8"/>
        <v>0</v>
      </c>
      <c r="K18" s="22" t="e">
        <f t="shared" si="9"/>
        <v>#VALUE!</v>
      </c>
      <c r="L18" s="22">
        <f t="shared" si="4"/>
        <v>0</v>
      </c>
      <c r="M18" s="12" t="e">
        <f t="shared" si="10"/>
        <v>#VALUE!</v>
      </c>
      <c r="N18" s="23" t="str">
        <f t="shared" si="6"/>
        <v/>
      </c>
    </row>
    <row r="19" spans="1:15" x14ac:dyDescent="0.2">
      <c r="A19" s="3">
        <v>14</v>
      </c>
      <c r="B19" s="20" t="str">
        <f>IF(Pengaturan!$B$3+13&gt;Pengaturan!$B$4,"",Pengaturan!$B$3+13)</f>
        <v/>
      </c>
      <c r="C19" s="3" t="str">
        <f t="shared" si="0"/>
        <v/>
      </c>
      <c r="D19" s="3" t="str">
        <f>IF(B19="","",INT((B19-Pengaturan!$B$3)/7)+1)</f>
        <v/>
      </c>
      <c r="E19" s="21" t="str">
        <f>IFERROR(VLOOKUP(B19,'Pagu Harian'!$A$4:$D$40,2,FALSE),Pengaturan!$B$13)</f>
        <v/>
      </c>
      <c r="G19" s="12">
        <f t="shared" si="7"/>
        <v>0</v>
      </c>
      <c r="H19" s="21" t="str">
        <f>IFERROR(VLOOKUP(B19,'Pagu Harian'!$A$4:$D$40,3,FALSE),Pengaturan!$B$14)</f>
        <v/>
      </c>
      <c r="J19" s="12">
        <f t="shared" si="8"/>
        <v>0</v>
      </c>
      <c r="K19" s="22" t="e">
        <f t="shared" si="9"/>
        <v>#VALUE!</v>
      </c>
      <c r="L19" s="22">
        <f t="shared" si="4"/>
        <v>0</v>
      </c>
      <c r="M19" s="12" t="e">
        <f t="shared" si="10"/>
        <v>#VALUE!</v>
      </c>
      <c r="N19" s="23" t="str">
        <f t="shared" si="6"/>
        <v/>
      </c>
    </row>
    <row r="20" spans="1:15" x14ac:dyDescent="0.2">
      <c r="A20" s="3">
        <v>15</v>
      </c>
      <c r="B20" s="20" t="str">
        <f>IF(Pengaturan!$B$3+14&gt;Pengaturan!$B$4,"",Pengaturan!$B$3+14)</f>
        <v/>
      </c>
      <c r="C20" s="3" t="str">
        <f t="shared" si="0"/>
        <v/>
      </c>
      <c r="D20" s="3" t="str">
        <f>IF(B20="","",INT((B20-Pengaturan!$B$3)/7)+1)</f>
        <v/>
      </c>
      <c r="E20" s="21" t="str">
        <f>IFERROR(VLOOKUP(B20,'Pagu Harian'!$A$4:$D$40,2,FALSE),Pengaturan!$B$13)</f>
        <v/>
      </c>
      <c r="G20" s="12">
        <f t="shared" si="7"/>
        <v>0</v>
      </c>
      <c r="H20" s="21" t="str">
        <f>IFERROR(VLOOKUP(B20,'Pagu Harian'!$A$4:$D$40,3,FALSE),Pengaturan!$B$14)</f>
        <v/>
      </c>
      <c r="J20" s="12">
        <f t="shared" si="8"/>
        <v>0</v>
      </c>
      <c r="K20" s="22" t="e">
        <f t="shared" si="9"/>
        <v>#VALUE!</v>
      </c>
      <c r="L20" s="22">
        <f t="shared" si="4"/>
        <v>0</v>
      </c>
      <c r="M20" s="12" t="e">
        <f t="shared" si="10"/>
        <v>#VALUE!</v>
      </c>
      <c r="N20" s="23" t="str">
        <f t="shared" si="6"/>
        <v/>
      </c>
    </row>
    <row r="21" spans="1:15" ht="15.75" customHeight="1" x14ac:dyDescent="0.2">
      <c r="A21" s="3">
        <v>16</v>
      </c>
      <c r="B21" s="20" t="str">
        <f>IF(Pengaturan!$B$3+15&gt;Pengaturan!$B$4,"",Pengaturan!$B$3+15)</f>
        <v/>
      </c>
      <c r="C21" s="3" t="str">
        <f t="shared" si="0"/>
        <v/>
      </c>
      <c r="D21" s="3" t="str">
        <f>IF(B21="","",INT((B21-Pengaturan!$B$3)/7)+1)</f>
        <v/>
      </c>
      <c r="E21" s="21" t="str">
        <f>IFERROR(VLOOKUP(B21,'Pagu Harian'!$A$4:$D$40,2,FALSE),Pengaturan!$B$13)</f>
        <v/>
      </c>
      <c r="G21" s="12">
        <f t="shared" si="7"/>
        <v>0</v>
      </c>
      <c r="H21" s="21" t="str">
        <f>IFERROR(VLOOKUP(B21,'Pagu Harian'!$A$4:$D$40,3,FALSE),Pengaturan!$B$14)</f>
        <v/>
      </c>
      <c r="J21" s="12">
        <f t="shared" si="8"/>
        <v>0</v>
      </c>
      <c r="K21" s="22" t="e">
        <f t="shared" si="9"/>
        <v>#VALUE!</v>
      </c>
      <c r="L21" s="22">
        <f t="shared" si="4"/>
        <v>0</v>
      </c>
      <c r="M21" s="12" t="e">
        <f t="shared" si="10"/>
        <v>#VALUE!</v>
      </c>
      <c r="N21" s="23" t="str">
        <f t="shared" si="6"/>
        <v/>
      </c>
    </row>
    <row r="22" spans="1:15" ht="15.75" customHeight="1" x14ac:dyDescent="0.2">
      <c r="A22" s="3">
        <v>17</v>
      </c>
      <c r="B22" s="20" t="str">
        <f>IF(Pengaturan!$B$3+16&gt;Pengaturan!$B$4,"",Pengaturan!$B$3+16)</f>
        <v/>
      </c>
      <c r="C22" s="3" t="str">
        <f t="shared" si="0"/>
        <v/>
      </c>
      <c r="D22" s="3" t="str">
        <f>IF(B22="","",INT((B22-Pengaturan!$B$3)/7)+1)</f>
        <v/>
      </c>
      <c r="E22" s="21" t="str">
        <f>IFERROR(VLOOKUP(B22,'Pagu Harian'!$A$4:$D$40,2,FALSE),Pengaturan!$B$13)</f>
        <v/>
      </c>
      <c r="G22" s="12">
        <f t="shared" si="7"/>
        <v>0</v>
      </c>
      <c r="H22" s="21" t="str">
        <f>IFERROR(VLOOKUP(B22,'Pagu Harian'!$A$4:$D$40,3,FALSE),Pengaturan!$B$14)</f>
        <v/>
      </c>
      <c r="J22" s="12">
        <f t="shared" si="8"/>
        <v>0</v>
      </c>
      <c r="K22" s="22" t="e">
        <f t="shared" si="9"/>
        <v>#VALUE!</v>
      </c>
      <c r="L22" s="22">
        <f t="shared" si="4"/>
        <v>0</v>
      </c>
      <c r="M22" s="12" t="e">
        <f t="shared" si="10"/>
        <v>#VALUE!</v>
      </c>
      <c r="N22" s="23" t="str">
        <f t="shared" si="6"/>
        <v/>
      </c>
    </row>
    <row r="23" spans="1:15" ht="15.75" customHeight="1" x14ac:dyDescent="0.2">
      <c r="A23" s="3">
        <v>18</v>
      </c>
      <c r="B23" s="20" t="str">
        <f>IF(Pengaturan!$B$3+17&gt;Pengaturan!$B$4,"",Pengaturan!$B$3+17)</f>
        <v/>
      </c>
      <c r="C23" s="3" t="str">
        <f t="shared" si="0"/>
        <v/>
      </c>
      <c r="D23" s="3" t="str">
        <f>IF(B23="","",INT((B23-Pengaturan!$B$3)/7)+1)</f>
        <v/>
      </c>
      <c r="E23" s="21" t="str">
        <f>IFERROR(VLOOKUP(B23,'Pagu Harian'!$A$4:$D$40,2,FALSE),Pengaturan!$B$13)</f>
        <v/>
      </c>
      <c r="G23" s="12">
        <f t="shared" si="7"/>
        <v>0</v>
      </c>
      <c r="H23" s="21" t="str">
        <f>IFERROR(VLOOKUP(B23,'Pagu Harian'!$A$4:$D$40,3,FALSE),Pengaturan!$B$14)</f>
        <v/>
      </c>
      <c r="J23" s="12">
        <f t="shared" si="8"/>
        <v>0</v>
      </c>
      <c r="K23" s="22" t="e">
        <f t="shared" si="9"/>
        <v>#VALUE!</v>
      </c>
      <c r="L23" s="22">
        <f t="shared" si="4"/>
        <v>0</v>
      </c>
      <c r="M23" s="12" t="e">
        <f t="shared" si="10"/>
        <v>#VALUE!</v>
      </c>
      <c r="N23" s="23" t="str">
        <f t="shared" si="6"/>
        <v/>
      </c>
    </row>
    <row r="24" spans="1:15" ht="15.75" customHeight="1" x14ac:dyDescent="0.2">
      <c r="A24" s="3">
        <v>19</v>
      </c>
      <c r="B24" s="20" t="str">
        <f>IF(Pengaturan!$B$3+18&gt;Pengaturan!$B$4,"",Pengaturan!$B$3+18)</f>
        <v/>
      </c>
      <c r="C24" s="3" t="str">
        <f t="shared" si="0"/>
        <v/>
      </c>
      <c r="D24" s="3" t="str">
        <f>IF(B24="","",INT((B24-Pengaturan!$B$3)/7)+1)</f>
        <v/>
      </c>
      <c r="E24" s="21" t="str">
        <f>IFERROR(VLOOKUP(B24,'Pagu Harian'!$A$4:$D$40,2,FALSE),Pengaturan!$B$13)</f>
        <v/>
      </c>
      <c r="G24" s="12">
        <f t="shared" si="7"/>
        <v>0</v>
      </c>
      <c r="H24" s="21" t="str">
        <f>IFERROR(VLOOKUP(B24,'Pagu Harian'!$A$4:$D$40,3,FALSE),Pengaturan!$B$14)</f>
        <v/>
      </c>
      <c r="J24" s="12">
        <f t="shared" si="8"/>
        <v>0</v>
      </c>
      <c r="K24" s="22" t="e">
        <f t="shared" si="9"/>
        <v>#VALUE!</v>
      </c>
      <c r="L24" s="22">
        <f t="shared" si="4"/>
        <v>0</v>
      </c>
      <c r="M24" s="12" t="e">
        <f t="shared" si="10"/>
        <v>#VALUE!</v>
      </c>
      <c r="N24" s="23" t="str">
        <f t="shared" si="6"/>
        <v/>
      </c>
    </row>
    <row r="25" spans="1:15" ht="15.75" customHeight="1" x14ac:dyDescent="0.2">
      <c r="A25" s="3">
        <v>20</v>
      </c>
      <c r="B25" s="20" t="str">
        <f>IF(Pengaturan!$B$3+19&gt;Pengaturan!$B$4,"",Pengaturan!$B$3+19)</f>
        <v/>
      </c>
      <c r="C25" s="3" t="str">
        <f t="shared" si="0"/>
        <v/>
      </c>
      <c r="D25" s="3" t="str">
        <f>IF(B25="","",INT((B25-Pengaturan!$B$3)/7)+1)</f>
        <v/>
      </c>
      <c r="E25" s="21" t="str">
        <f>IFERROR(VLOOKUP(B25,'Pagu Harian'!$A$4:$D$40,2,FALSE),Pengaturan!$B$13)</f>
        <v/>
      </c>
      <c r="G25" s="12">
        <f t="shared" si="7"/>
        <v>0</v>
      </c>
      <c r="H25" s="21" t="str">
        <f>IFERROR(VLOOKUP(B25,'Pagu Harian'!$A$4:$D$40,3,FALSE),Pengaturan!$B$14)</f>
        <v/>
      </c>
      <c r="J25" s="12">
        <f t="shared" si="8"/>
        <v>0</v>
      </c>
      <c r="K25" s="22" t="e">
        <f t="shared" si="9"/>
        <v>#VALUE!</v>
      </c>
      <c r="L25" s="22">
        <f t="shared" si="4"/>
        <v>0</v>
      </c>
      <c r="M25" s="12" t="e">
        <f t="shared" si="10"/>
        <v>#VALUE!</v>
      </c>
      <c r="N25" s="23" t="str">
        <f t="shared" si="6"/>
        <v/>
      </c>
    </row>
    <row r="26" spans="1:15" ht="15.75" customHeight="1" x14ac:dyDescent="0.2">
      <c r="A26" s="3">
        <v>21</v>
      </c>
      <c r="B26" s="20" t="str">
        <f>IF(Pengaturan!$B$3+20&gt;Pengaturan!$B$4,"",Pengaturan!$B$3+20)</f>
        <v/>
      </c>
      <c r="C26" s="3" t="str">
        <f t="shared" si="0"/>
        <v/>
      </c>
      <c r="D26" s="3" t="str">
        <f>IF(B26="","",INT((B26-Pengaturan!$B$3)/7)+1)</f>
        <v/>
      </c>
      <c r="E26" s="21" t="str">
        <f>IFERROR(VLOOKUP(B26,'Pagu Harian'!$A$4:$D$40,2,FALSE),Pengaturan!$B$13)</f>
        <v/>
      </c>
      <c r="G26" s="12">
        <f t="shared" si="7"/>
        <v>0</v>
      </c>
      <c r="H26" s="21" t="str">
        <f>IFERROR(VLOOKUP(B26,'Pagu Harian'!$A$4:$D$40,3,FALSE),Pengaturan!$B$14)</f>
        <v/>
      </c>
      <c r="J26" s="12">
        <f t="shared" si="8"/>
        <v>0</v>
      </c>
      <c r="K26" s="22" t="e">
        <f t="shared" si="9"/>
        <v>#VALUE!</v>
      </c>
      <c r="L26" s="22">
        <f t="shared" si="4"/>
        <v>0</v>
      </c>
      <c r="M26" s="12" t="e">
        <f t="shared" si="10"/>
        <v>#VALUE!</v>
      </c>
      <c r="N26" s="23" t="str">
        <f t="shared" si="6"/>
        <v/>
      </c>
    </row>
    <row r="27" spans="1:15" ht="15.75" customHeight="1" x14ac:dyDescent="0.2">
      <c r="A27" s="3">
        <v>22</v>
      </c>
      <c r="B27" s="20" t="str">
        <f>IF(Pengaturan!$B$3+21&gt;Pengaturan!$B$4,"",Pengaturan!$B$3+21)</f>
        <v/>
      </c>
      <c r="C27" s="3" t="str">
        <f t="shared" si="0"/>
        <v/>
      </c>
      <c r="D27" s="3" t="str">
        <f>IF(B27="","",INT((B27-Pengaturan!$B$3)/7)+1)</f>
        <v/>
      </c>
      <c r="E27" s="21" t="str">
        <f>IFERROR(VLOOKUP(B27,'Pagu Harian'!$A$4:$D$40,2,FALSE),Pengaturan!$B$13)</f>
        <v/>
      </c>
      <c r="G27" s="12">
        <f t="shared" si="7"/>
        <v>0</v>
      </c>
      <c r="H27" s="21" t="str">
        <f>IFERROR(VLOOKUP(B27,'Pagu Harian'!$A$4:$D$40,3,FALSE),Pengaturan!$B$14)</f>
        <v/>
      </c>
      <c r="J27" s="12">
        <f t="shared" si="8"/>
        <v>0</v>
      </c>
      <c r="K27" s="22" t="e">
        <f t="shared" si="9"/>
        <v>#VALUE!</v>
      </c>
      <c r="L27" s="22">
        <f t="shared" si="4"/>
        <v>0</v>
      </c>
      <c r="M27" s="12" t="e">
        <f t="shared" si="10"/>
        <v>#VALUE!</v>
      </c>
      <c r="N27" s="23" t="str">
        <f t="shared" si="6"/>
        <v/>
      </c>
    </row>
    <row r="28" spans="1:15" ht="15.75" customHeight="1" x14ac:dyDescent="0.2">
      <c r="A28" s="3">
        <v>23</v>
      </c>
      <c r="B28" s="20" t="str">
        <f>IF(Pengaturan!$B$3+22&gt;Pengaturan!$B$4,"",Pengaturan!$B$3+22)</f>
        <v/>
      </c>
      <c r="C28" s="3" t="str">
        <f t="shared" si="0"/>
        <v/>
      </c>
      <c r="D28" s="3" t="str">
        <f>IF(B28="","",INT((B28-Pengaturan!$B$3)/7)+1)</f>
        <v/>
      </c>
      <c r="E28" s="21" t="str">
        <f>IFERROR(VLOOKUP(B28,'Pagu Harian'!$A$4:$D$40,2,FALSE),Pengaturan!$B$13)</f>
        <v/>
      </c>
      <c r="G28" s="12">
        <f t="shared" si="7"/>
        <v>0</v>
      </c>
      <c r="H28" s="21" t="str">
        <f>IFERROR(VLOOKUP(B28,'Pagu Harian'!$A$4:$D$40,3,FALSE),Pengaturan!$B$14)</f>
        <v/>
      </c>
      <c r="J28" s="12">
        <f t="shared" si="8"/>
        <v>0</v>
      </c>
      <c r="K28" s="22" t="e">
        <f t="shared" si="9"/>
        <v>#VALUE!</v>
      </c>
      <c r="L28" s="22">
        <f t="shared" si="4"/>
        <v>0</v>
      </c>
      <c r="M28" s="12" t="e">
        <f t="shared" si="10"/>
        <v>#VALUE!</v>
      </c>
      <c r="N28" s="23" t="str">
        <f t="shared" si="6"/>
        <v/>
      </c>
    </row>
    <row r="29" spans="1:15" ht="15.75" customHeight="1" x14ac:dyDescent="0.2">
      <c r="A29" s="3">
        <v>24</v>
      </c>
      <c r="B29" s="20" t="str">
        <f>IF(Pengaturan!$B$3+23&gt;Pengaturan!$B$4,"",Pengaturan!$B$3+23)</f>
        <v/>
      </c>
      <c r="C29" s="3" t="str">
        <f t="shared" si="0"/>
        <v/>
      </c>
      <c r="D29" s="3" t="str">
        <f>IF(B29="","",INT((B29-Pengaturan!$B$3)/7)+1)</f>
        <v/>
      </c>
      <c r="E29" s="21" t="str">
        <f>IFERROR(VLOOKUP(B29,'Pagu Harian'!$A$4:$D$40,2,FALSE),Pengaturan!$B$13)</f>
        <v/>
      </c>
      <c r="G29" s="12">
        <f t="shared" si="7"/>
        <v>0</v>
      </c>
      <c r="H29" s="21" t="str">
        <f>IFERROR(VLOOKUP(B29,'Pagu Harian'!$A$4:$D$40,3,FALSE),Pengaturan!$B$14)</f>
        <v/>
      </c>
      <c r="J29" s="12">
        <f t="shared" si="8"/>
        <v>0</v>
      </c>
      <c r="K29" s="22" t="e">
        <f t="shared" si="9"/>
        <v>#VALUE!</v>
      </c>
      <c r="L29" s="22">
        <f t="shared" si="4"/>
        <v>0</v>
      </c>
      <c r="M29" s="12" t="e">
        <f t="shared" si="10"/>
        <v>#VALUE!</v>
      </c>
      <c r="N29" s="23" t="str">
        <f t="shared" si="6"/>
        <v/>
      </c>
    </row>
    <row r="30" spans="1:15" ht="15.75" customHeight="1" x14ac:dyDescent="0.2">
      <c r="A30" s="3">
        <v>25</v>
      </c>
      <c r="B30" s="20" t="str">
        <f>IF(Pengaturan!$B$3+24&gt;Pengaturan!$B$4,"",Pengaturan!$B$3+24)</f>
        <v/>
      </c>
      <c r="C30" s="3" t="str">
        <f t="shared" si="0"/>
        <v/>
      </c>
      <c r="D30" s="3" t="str">
        <f>IF(B30="","",INT((B30-Pengaturan!$B$3)/7)+1)</f>
        <v/>
      </c>
      <c r="E30" s="21" t="str">
        <f>IFERROR(VLOOKUP(B30,'Pagu Harian'!$A$4:$D$40,2,FALSE),Pengaturan!$B$13)</f>
        <v/>
      </c>
      <c r="G30" s="12">
        <f t="shared" si="7"/>
        <v>0</v>
      </c>
      <c r="H30" s="21" t="str">
        <f>IFERROR(VLOOKUP(B30,'Pagu Harian'!$A$4:$D$40,3,FALSE),Pengaturan!$B$14)</f>
        <v/>
      </c>
      <c r="J30" s="12">
        <f t="shared" si="8"/>
        <v>0</v>
      </c>
      <c r="K30" s="22" t="e">
        <f t="shared" si="9"/>
        <v>#VALUE!</v>
      </c>
      <c r="L30" s="22">
        <f t="shared" si="4"/>
        <v>0</v>
      </c>
      <c r="M30" s="12" t="e">
        <f t="shared" si="10"/>
        <v>#VALUE!</v>
      </c>
      <c r="N30" s="23" t="str">
        <f t="shared" si="6"/>
        <v/>
      </c>
    </row>
    <row r="31" spans="1:15" ht="15.75" customHeight="1" x14ac:dyDescent="0.2">
      <c r="A31" s="3">
        <v>26</v>
      </c>
      <c r="B31" s="20" t="str">
        <f>IF(Pengaturan!$B$3+25&gt;Pengaturan!$B$4,"",Pengaturan!$B$3+25)</f>
        <v/>
      </c>
      <c r="C31" s="3" t="str">
        <f t="shared" si="0"/>
        <v/>
      </c>
      <c r="D31" s="3" t="str">
        <f>IF(B31="","",INT((B31-Pengaturan!$B$3)/7)+1)</f>
        <v/>
      </c>
      <c r="E31" s="21" t="str">
        <f>IFERROR(VLOOKUP(B31,'Pagu Harian'!$A$4:$D$40,2,FALSE),Pengaturan!$B$13)</f>
        <v/>
      </c>
      <c r="G31" s="12">
        <f t="shared" si="7"/>
        <v>0</v>
      </c>
      <c r="H31" s="21" t="str">
        <f>IFERROR(VLOOKUP(B31,'Pagu Harian'!$A$4:$D$40,3,FALSE),Pengaturan!$B$14)</f>
        <v/>
      </c>
      <c r="J31" s="12">
        <f t="shared" si="8"/>
        <v>0</v>
      </c>
      <c r="K31" s="22" t="e">
        <f t="shared" si="9"/>
        <v>#VALUE!</v>
      </c>
      <c r="L31" s="22">
        <f t="shared" si="4"/>
        <v>0</v>
      </c>
      <c r="M31" s="12" t="e">
        <f t="shared" si="10"/>
        <v>#VALUE!</v>
      </c>
      <c r="N31" s="23" t="str">
        <f t="shared" si="6"/>
        <v/>
      </c>
    </row>
    <row r="32" spans="1:15" ht="15.75" customHeight="1" x14ac:dyDescent="0.2">
      <c r="A32" s="3">
        <v>27</v>
      </c>
      <c r="B32" s="20" t="str">
        <f>IF(Pengaturan!$B$3+26&gt;Pengaturan!$B$4,"",Pengaturan!$B$3+26)</f>
        <v/>
      </c>
      <c r="C32" s="3" t="str">
        <f t="shared" si="0"/>
        <v/>
      </c>
      <c r="D32" s="3" t="str">
        <f>IF(B32="","",INT((B32-Pengaturan!$B$3)/7)+1)</f>
        <v/>
      </c>
      <c r="E32" s="21" t="str">
        <f>IFERROR(VLOOKUP(B32,'Pagu Harian'!$A$4:$D$40,2,FALSE),Pengaturan!$B$13)</f>
        <v/>
      </c>
      <c r="G32" s="12">
        <f t="shared" si="7"/>
        <v>0</v>
      </c>
      <c r="H32" s="21" t="str">
        <f>IFERROR(VLOOKUP(B32,'Pagu Harian'!$A$4:$D$40,3,FALSE),Pengaturan!$B$14)</f>
        <v/>
      </c>
      <c r="J32" s="12">
        <f t="shared" si="8"/>
        <v>0</v>
      </c>
      <c r="K32" s="22" t="e">
        <f t="shared" si="9"/>
        <v>#VALUE!</v>
      </c>
      <c r="L32" s="22">
        <f t="shared" si="4"/>
        <v>0</v>
      </c>
      <c r="M32" s="12" t="e">
        <f t="shared" si="10"/>
        <v>#VALUE!</v>
      </c>
      <c r="N32" s="23" t="str">
        <f t="shared" si="6"/>
        <v/>
      </c>
    </row>
    <row r="33" spans="1:14" ht="15.75" customHeight="1" x14ac:dyDescent="0.2">
      <c r="A33" s="3">
        <v>28</v>
      </c>
      <c r="B33" s="20" t="str">
        <f>IF(Pengaturan!$B$3+27&gt;Pengaturan!$B$4,"",Pengaturan!$B$3+27)</f>
        <v/>
      </c>
      <c r="C33" s="3" t="str">
        <f t="shared" si="0"/>
        <v/>
      </c>
      <c r="D33" s="3" t="str">
        <f>IF(B33="","",INT((B33-Pengaturan!$B$3)/7)+1)</f>
        <v/>
      </c>
      <c r="E33" s="21" t="str">
        <f>IFERROR(VLOOKUP(B33,'Pagu Harian'!$A$4:$D$40,2,FALSE),Pengaturan!$B$13)</f>
        <v/>
      </c>
      <c r="G33" s="12">
        <f t="shared" si="7"/>
        <v>0</v>
      </c>
      <c r="H33" s="21" t="str">
        <f>IFERROR(VLOOKUP(B33,'Pagu Harian'!$A$4:$D$40,3,FALSE),Pengaturan!$B$14)</f>
        <v/>
      </c>
      <c r="J33" s="12">
        <f t="shared" si="8"/>
        <v>0</v>
      </c>
      <c r="K33" s="22" t="e">
        <f t="shared" si="9"/>
        <v>#VALUE!</v>
      </c>
      <c r="L33" s="22">
        <f t="shared" si="4"/>
        <v>0</v>
      </c>
      <c r="M33" s="12" t="e">
        <f t="shared" si="10"/>
        <v>#VALUE!</v>
      </c>
      <c r="N33" s="23" t="str">
        <f t="shared" si="6"/>
        <v/>
      </c>
    </row>
    <row r="34" spans="1:14" ht="15.75" customHeight="1" x14ac:dyDescent="0.2">
      <c r="A34" s="3">
        <v>29</v>
      </c>
      <c r="B34" s="20" t="str">
        <f>IF(Pengaturan!$B$3+28&gt;Pengaturan!$B$4,"",Pengaturan!$B$3+28)</f>
        <v/>
      </c>
      <c r="C34" s="3" t="str">
        <f t="shared" si="0"/>
        <v/>
      </c>
      <c r="D34" s="3" t="str">
        <f>IF(B34="","",INT((B34-Pengaturan!$B$3)/7)+1)</f>
        <v/>
      </c>
      <c r="E34" s="21" t="str">
        <f>IFERROR(VLOOKUP(B34,'Pagu Harian'!$A$4:$D$40,2,FALSE),Pengaturan!$B$13)</f>
        <v/>
      </c>
      <c r="G34" s="12">
        <f t="shared" si="7"/>
        <v>0</v>
      </c>
      <c r="H34" s="21" t="str">
        <f>IFERROR(VLOOKUP(B34,'Pagu Harian'!$A$4:$D$40,3,FALSE),Pengaturan!$B$14)</f>
        <v/>
      </c>
      <c r="J34" s="12">
        <f t="shared" si="8"/>
        <v>0</v>
      </c>
      <c r="K34" s="22" t="e">
        <f t="shared" si="9"/>
        <v>#VALUE!</v>
      </c>
      <c r="L34" s="22">
        <f t="shared" si="4"/>
        <v>0</v>
      </c>
      <c r="M34" s="12" t="e">
        <f t="shared" si="10"/>
        <v>#VALUE!</v>
      </c>
      <c r="N34" s="23" t="str">
        <f t="shared" si="6"/>
        <v/>
      </c>
    </row>
    <row r="35" spans="1:14" ht="15.75" customHeight="1" x14ac:dyDescent="0.2">
      <c r="A35" s="3">
        <v>30</v>
      </c>
      <c r="B35" s="20" t="str">
        <f>IF(Pengaturan!$B$3+29&gt;Pengaturan!$B$4,"",Pengaturan!$B$3+29)</f>
        <v/>
      </c>
      <c r="C35" s="3" t="str">
        <f t="shared" si="0"/>
        <v/>
      </c>
      <c r="D35" s="3" t="str">
        <f>IF(B35="","",INT((B35-Pengaturan!$B$3)/7)+1)</f>
        <v/>
      </c>
      <c r="E35" s="21" t="str">
        <f>IFERROR(VLOOKUP(B35,'Pagu Harian'!$A$4:$D$40,2,FALSE),Pengaturan!$B$13)</f>
        <v/>
      </c>
      <c r="G35" s="12">
        <f t="shared" si="7"/>
        <v>0</v>
      </c>
      <c r="H35" s="21" t="str">
        <f>IFERROR(VLOOKUP(B35,'Pagu Harian'!$A$4:$D$40,3,FALSE),Pengaturan!$B$14)</f>
        <v/>
      </c>
      <c r="J35" s="12">
        <f t="shared" si="8"/>
        <v>0</v>
      </c>
      <c r="K35" s="22" t="e">
        <f t="shared" si="9"/>
        <v>#VALUE!</v>
      </c>
      <c r="L35" s="22">
        <f t="shared" si="4"/>
        <v>0</v>
      </c>
      <c r="M35" s="12" t="e">
        <f t="shared" si="10"/>
        <v>#VALUE!</v>
      </c>
      <c r="N35" s="23" t="str">
        <f t="shared" si="6"/>
        <v/>
      </c>
    </row>
    <row r="36" spans="1:14" ht="15.75" customHeight="1" x14ac:dyDescent="0.2">
      <c r="A36" s="3">
        <v>31</v>
      </c>
      <c r="B36" s="20" t="str">
        <f>IF(Pengaturan!$B$3+30&gt;Pengaturan!$B$4,"",Pengaturan!$B$3+30)</f>
        <v/>
      </c>
      <c r="C36" s="3" t="str">
        <f t="shared" si="0"/>
        <v/>
      </c>
      <c r="D36" s="3" t="str">
        <f>IF(B36="","",INT((B36-Pengaturan!$B$3)/7)+1)</f>
        <v/>
      </c>
      <c r="E36" s="21" t="str">
        <f>IFERROR(VLOOKUP(B36,'Pagu Harian'!$A$4:$D$40,2,FALSE),Pengaturan!$B$13)</f>
        <v/>
      </c>
      <c r="G36" s="12">
        <f t="shared" si="7"/>
        <v>0</v>
      </c>
      <c r="H36" s="21" t="str">
        <f>IFERROR(VLOOKUP(B36,'Pagu Harian'!$A$4:$D$40,3,FALSE),Pengaturan!$B$14)</f>
        <v/>
      </c>
      <c r="J36" s="12">
        <f t="shared" si="8"/>
        <v>0</v>
      </c>
      <c r="K36" s="22" t="e">
        <f t="shared" si="9"/>
        <v>#VALUE!</v>
      </c>
      <c r="L36" s="22">
        <f t="shared" si="4"/>
        <v>0</v>
      </c>
      <c r="M36" s="12" t="e">
        <f t="shared" si="10"/>
        <v>#VALUE!</v>
      </c>
      <c r="N36" s="23" t="str">
        <f t="shared" si="6"/>
        <v/>
      </c>
    </row>
    <row r="37" spans="1:14" ht="15.75" customHeight="1" x14ac:dyDescent="0.2"/>
    <row r="38" spans="1:14" ht="15.75" customHeight="1" x14ac:dyDescent="0.2">
      <c r="B38" s="28" t="s">
        <v>74</v>
      </c>
      <c r="E38" s="18">
        <f t="shared" ref="E38:M38" si="11">SUM(E6:E36)</f>
        <v>254106000</v>
      </c>
      <c r="F38" s="18">
        <f t="shared" si="11"/>
        <v>221393431</v>
      </c>
      <c r="G38" s="18">
        <f t="shared" si="11"/>
        <v>32712569</v>
      </c>
      <c r="H38" s="18">
        <f t="shared" si="11"/>
        <v>112747500</v>
      </c>
      <c r="I38" s="18">
        <f t="shared" si="11"/>
        <v>120676500</v>
      </c>
      <c r="J38" s="18">
        <f t="shared" si="11"/>
        <v>-7929000</v>
      </c>
      <c r="K38" s="18" t="e">
        <f t="shared" si="11"/>
        <v>#VALUE!</v>
      </c>
      <c r="L38" s="18">
        <f t="shared" si="11"/>
        <v>342069931</v>
      </c>
      <c r="M38" s="18" t="e">
        <f t="shared" si="11"/>
        <v>#VALUE!</v>
      </c>
    </row>
    <row r="39" spans="1:14" ht="15.75" customHeight="1" x14ac:dyDescent="0.2">
      <c r="B39" s="28" t="s">
        <v>75</v>
      </c>
      <c r="E39" s="18">
        <f>IFERROR(AVERAGEIF(B6:B36,"&lt;&gt;",E6:E36),0)</f>
        <v>21175500</v>
      </c>
      <c r="F39" s="18">
        <f>IFERROR(AVERAGEIF(F6:F36,"&gt;0"),0)</f>
        <v>24599270.111111112</v>
      </c>
      <c r="G39" s="18">
        <f>IFERROR(AVERAGEIF(B6:B36,"&lt;&gt;",G6:G36),0)</f>
        <v>1055244.1612903227</v>
      </c>
      <c r="H39" s="18">
        <f>IFERROR(AVERAGEIF(B6:B36,"&lt;&gt;",H6:H36),0)</f>
        <v>9395625</v>
      </c>
      <c r="I39" s="18">
        <f>IFERROR(AVERAGEIF(I6:I36,"&gt;0"),0)</f>
        <v>15084562.5</v>
      </c>
      <c r="J39" s="18">
        <f>IFERROR(AVERAGEIF(B6:B36,"&lt;&gt;",J6:J36),0)</f>
        <v>-255774.19354838709</v>
      </c>
      <c r="K39" s="18">
        <f>IFERROR(AVERAGEIF(B6:B36,"&lt;&gt;",K6:K36),0)</f>
        <v>0</v>
      </c>
      <c r="L39" s="18">
        <f>IFERROR(AVERAGEIF(L6:L36,"&gt;0"),0)</f>
        <v>38007770.111111112</v>
      </c>
      <c r="M39" s="18">
        <f>IFERROR(AVERAGEIF(B6:B36,"&lt;&gt;",M6:M36),0)</f>
        <v>0</v>
      </c>
    </row>
    <row r="40" spans="1:14" ht="15.75" customHeight="1" x14ac:dyDescent="0.2"/>
    <row r="41" spans="1:14" ht="15.75" customHeight="1" x14ac:dyDescent="0.2"/>
    <row r="42" spans="1:14" ht="15.75" customHeight="1" x14ac:dyDescent="0.2"/>
    <row r="43" spans="1:14" ht="15.75" customHeight="1" x14ac:dyDescent="0.2"/>
    <row r="44" spans="1:14" ht="15.75" customHeight="1" x14ac:dyDescent="0.2"/>
    <row r="45" spans="1:14" ht="15.75" customHeight="1" x14ac:dyDescent="0.2"/>
    <row r="46" spans="1:14" ht="15.75" customHeight="1" x14ac:dyDescent="0.2"/>
    <row r="47" spans="1:14" ht="15.75" customHeight="1" x14ac:dyDescent="0.2"/>
    <row r="48" spans="1:1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N1"/>
  </mergeCells>
  <conditionalFormatting sqref="N6:N36">
    <cfRule type="cellIs" dxfId="7" priority="1" operator="equal">
      <formula>"SURPLUS"</formula>
    </cfRule>
    <cfRule type="cellIs" dxfId="6" priority="2" operator="equal">
      <formula>"DEFISIT"</formula>
    </cfRule>
    <cfRule type="cellIs" dxfId="5" priority="3" operator="equal">
      <formula>"AMAN"</formula>
    </cfRule>
    <cfRule type="cellIs" dxfId="4" priority="4" operator="equal">
      <formula>"BELUM"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L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4.5" defaultRowHeight="15" customHeight="1" x14ac:dyDescent="0.2"/>
  <cols>
    <col min="1" max="1" width="10" customWidth="1"/>
    <col min="2" max="2" width="22" customWidth="1"/>
    <col min="3" max="3" width="17" customWidth="1"/>
    <col min="4" max="4" width="16" customWidth="1"/>
    <col min="5" max="5" width="17.6640625" customWidth="1"/>
    <col min="6" max="6" width="21.33203125" customWidth="1"/>
    <col min="7" max="7" width="20.83203125" customWidth="1"/>
    <col min="8" max="8" width="21.1640625" customWidth="1"/>
    <col min="9" max="9" width="16" customWidth="1"/>
    <col min="10" max="10" width="16.83203125" customWidth="1"/>
    <col min="11" max="11" width="18" customWidth="1"/>
    <col min="12" max="12" width="14" customWidth="1"/>
    <col min="13" max="25" width="8.83203125" customWidth="1"/>
  </cols>
  <sheetData>
    <row r="1" spans="1:12" ht="31.5" customHeight="1" x14ac:dyDescent="0.2">
      <c r="A1" s="33" t="s">
        <v>76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9.5" customHeight="1" x14ac:dyDescent="0.2">
      <c r="A2" s="1" t="s">
        <v>77</v>
      </c>
    </row>
    <row r="3" spans="1:12" ht="16" x14ac:dyDescent="0.2">
      <c r="A3" s="17" t="s">
        <v>78</v>
      </c>
      <c r="B3" s="17" t="s">
        <v>79</v>
      </c>
      <c r="C3" s="10" t="s">
        <v>58</v>
      </c>
      <c r="D3" s="10" t="s">
        <v>59</v>
      </c>
      <c r="E3" s="10" t="s">
        <v>60</v>
      </c>
      <c r="F3" s="15" t="s">
        <v>61</v>
      </c>
      <c r="G3" s="15" t="s">
        <v>62</v>
      </c>
      <c r="H3" s="15" t="s">
        <v>63</v>
      </c>
      <c r="I3" s="17" t="s">
        <v>64</v>
      </c>
      <c r="J3" s="17" t="s">
        <v>65</v>
      </c>
      <c r="K3" s="17" t="s">
        <v>66</v>
      </c>
      <c r="L3" s="17" t="s">
        <v>67</v>
      </c>
    </row>
    <row r="4" spans="1:12" x14ac:dyDescent="0.2">
      <c r="A4" s="3">
        <v>1</v>
      </c>
      <c r="B4" s="3" t="str">
        <f>IF(Pengaturan!$B$3+0&gt;Pengaturan!$B$4,"",TEXT(Pengaturan!$B$3+0,"dd mmm")&amp;" - "&amp;TEXT(MIN(Pengaturan!$B$3+6,Pengaturan!$B$4),"dd mmm"))</f>
        <v>01 Sep - 07 Sep</v>
      </c>
      <c r="C4" s="21">
        <f>SUMIF('Rekap Harian'!$D$6:$D$36,A4,'Rekap Harian'!$E$6:$E$36)</f>
        <v>112936000</v>
      </c>
      <c r="D4" s="21">
        <f>SUMIF('Rekap Harian'!$D$6:$D$36,A4,'Rekap Harian'!$F$6:$F$36)</f>
        <v>109761500</v>
      </c>
      <c r="E4" s="12">
        <f t="shared" ref="E4:E8" si="0">C4-D4</f>
        <v>3174500</v>
      </c>
      <c r="F4" s="21">
        <f>SUMIF('Rekap Harian'!$D$6:$D$36,A4,'Rekap Harian'!$H$6:$H$36)</f>
        <v>50110000</v>
      </c>
      <c r="G4" s="21">
        <f>SUMIF('Rekap Harian'!$D$6:$D$36,A4,'Rekap Harian'!$I$6:$I$36)</f>
        <v>33427500</v>
      </c>
      <c r="H4" s="12">
        <f t="shared" ref="H4:H8" si="1">F4-G4</f>
        <v>16682500</v>
      </c>
      <c r="I4" s="22">
        <f t="shared" ref="I4:J4" si="2">C4+F4</f>
        <v>163046000</v>
      </c>
      <c r="J4" s="22">
        <f t="shared" si="2"/>
        <v>143189000</v>
      </c>
      <c r="K4" s="12">
        <f t="shared" ref="K4:K8" si="3">I4-J4</f>
        <v>19857000</v>
      </c>
      <c r="L4" s="23" t="str">
        <f t="shared" ref="L4:L8" si="4">IF(I4=0,"",IF(K4&gt;0,"SURPLUS",IF(K4&lt;0,"DEFISIT","AMAN")))</f>
        <v>SURPLUS</v>
      </c>
    </row>
    <row r="5" spans="1:12" x14ac:dyDescent="0.2">
      <c r="A5" s="3">
        <v>2</v>
      </c>
      <c r="B5" s="3" t="str">
        <f>IF(Pengaturan!$B$3+7&gt;Pengaturan!$B$4,"",TEXT(Pengaturan!$B$3+7,"dd mmm")&amp;" - "&amp;TEXT(MIN(Pengaturan!$B$3+13,Pengaturan!$B$4),"dd mmm"))</f>
        <v>08 Sep - 12 Sep</v>
      </c>
      <c r="C5" s="21">
        <f>SUMIF('Rekap Harian'!$D$6:$D$36,A5,'Rekap Harian'!$E$6:$E$36)</f>
        <v>141170000</v>
      </c>
      <c r="D5" s="21">
        <f>SUMIF('Rekap Harian'!$D$6:$D$36,A5,'Rekap Harian'!$F$6:$F$36)</f>
        <v>111631931</v>
      </c>
      <c r="E5" s="12">
        <f t="shared" si="0"/>
        <v>29538069</v>
      </c>
      <c r="F5" s="21">
        <f>SUMIF('Rekap Harian'!$D$6:$D$36,A5,'Rekap Harian'!$H$6:$H$36)</f>
        <v>62637500</v>
      </c>
      <c r="G5" s="21">
        <f>SUMIF('Rekap Harian'!$D$6:$D$36,A5,'Rekap Harian'!$I$6:$I$36)</f>
        <v>87249000</v>
      </c>
      <c r="H5" s="12">
        <f t="shared" si="1"/>
        <v>-24611500</v>
      </c>
      <c r="I5" s="22">
        <f t="shared" ref="I5:J5" si="5">C5+F5</f>
        <v>203807500</v>
      </c>
      <c r="J5" s="22">
        <f t="shared" si="5"/>
        <v>198880931</v>
      </c>
      <c r="K5" s="12">
        <f t="shared" si="3"/>
        <v>4926569</v>
      </c>
      <c r="L5" s="23" t="str">
        <f t="shared" si="4"/>
        <v>SURPLUS</v>
      </c>
    </row>
    <row r="6" spans="1:12" x14ac:dyDescent="0.2">
      <c r="A6" s="3">
        <v>3</v>
      </c>
      <c r="B6" s="3" t="str">
        <f>IF(Pengaturan!$B$3+14&gt;Pengaturan!$B$4,"",TEXT(Pengaturan!$B$3+14,"dd mmm")&amp;" - "&amp;TEXT(MIN(Pengaturan!$B$3+20,Pengaturan!$B$4),"dd mmm"))</f>
        <v/>
      </c>
      <c r="C6" s="21">
        <f>SUMIF('Rekap Harian'!$D$6:$D$36,A6,'Rekap Harian'!$E$6:$E$36)</f>
        <v>0</v>
      </c>
      <c r="D6" s="21">
        <f>SUMIF('Rekap Harian'!$D$6:$D$36,A6,'Rekap Harian'!$F$6:$F$36)</f>
        <v>0</v>
      </c>
      <c r="E6" s="12">
        <f t="shared" si="0"/>
        <v>0</v>
      </c>
      <c r="F6" s="21">
        <f>SUMIF('Rekap Harian'!$D$6:$D$36,A6,'Rekap Harian'!$H$6:$H$36)</f>
        <v>0</v>
      </c>
      <c r="G6" s="21">
        <f>SUMIF('Rekap Harian'!$D$6:$D$36,A6,'Rekap Harian'!$I$6:$I$36)</f>
        <v>0</v>
      </c>
      <c r="H6" s="12">
        <f t="shared" si="1"/>
        <v>0</v>
      </c>
      <c r="I6" s="22">
        <f t="shared" ref="I6:J6" si="6">C6+F6</f>
        <v>0</v>
      </c>
      <c r="J6" s="22">
        <f t="shared" si="6"/>
        <v>0</v>
      </c>
      <c r="K6" s="12">
        <f t="shared" si="3"/>
        <v>0</v>
      </c>
      <c r="L6" s="23" t="str">
        <f t="shared" si="4"/>
        <v/>
      </c>
    </row>
    <row r="7" spans="1:12" x14ac:dyDescent="0.2">
      <c r="A7" s="3">
        <v>4</v>
      </c>
      <c r="B7" s="3" t="str">
        <f>IF(Pengaturan!$B$3+21&gt;Pengaturan!$B$4,"",TEXT(Pengaturan!$B$3+21,"dd mmm")&amp;" - "&amp;TEXT(MIN(Pengaturan!$B$3+27,Pengaturan!$B$4),"dd mmm"))</f>
        <v/>
      </c>
      <c r="C7" s="21">
        <f>SUMIF('Rekap Harian'!$D$6:$D$36,A7,'Rekap Harian'!$E$6:$E$36)</f>
        <v>0</v>
      </c>
      <c r="D7" s="21">
        <f>SUMIF('Rekap Harian'!$D$6:$D$36,A7,'Rekap Harian'!$F$6:$F$36)</f>
        <v>0</v>
      </c>
      <c r="E7" s="12">
        <f t="shared" si="0"/>
        <v>0</v>
      </c>
      <c r="F7" s="21">
        <f>SUMIF('Rekap Harian'!$D$6:$D$36,A7,'Rekap Harian'!$H$6:$H$36)</f>
        <v>0</v>
      </c>
      <c r="G7" s="21">
        <f>SUMIF('Rekap Harian'!$D$6:$D$36,A7,'Rekap Harian'!$I$6:$I$36)</f>
        <v>0</v>
      </c>
      <c r="H7" s="12">
        <f t="shared" si="1"/>
        <v>0</v>
      </c>
      <c r="I7" s="22">
        <f t="shared" ref="I7:J7" si="7">C7+F7</f>
        <v>0</v>
      </c>
      <c r="J7" s="22">
        <f t="shared" si="7"/>
        <v>0</v>
      </c>
      <c r="K7" s="12">
        <f t="shared" si="3"/>
        <v>0</v>
      </c>
      <c r="L7" s="23" t="str">
        <f t="shared" si="4"/>
        <v/>
      </c>
    </row>
    <row r="8" spans="1:12" x14ac:dyDescent="0.2">
      <c r="A8" s="3">
        <v>5</v>
      </c>
      <c r="B8" s="3" t="str">
        <f>IF(Pengaturan!$B$3+28&gt;Pengaturan!$B$4,"",TEXT(Pengaturan!$B$3+28,"dd mmm")&amp;" - "&amp;TEXT(MIN(Pengaturan!$B$3+34,Pengaturan!$B$4),"dd mmm"))</f>
        <v/>
      </c>
      <c r="C8" s="21">
        <f>SUMIF('Rekap Harian'!$D$6:$D$36,A8,'Rekap Harian'!$E$6:$E$36)</f>
        <v>0</v>
      </c>
      <c r="D8" s="21">
        <f>SUMIF('Rekap Harian'!$D$6:$D$36,A8,'Rekap Harian'!$F$6:$F$36)</f>
        <v>0</v>
      </c>
      <c r="E8" s="12">
        <f t="shared" si="0"/>
        <v>0</v>
      </c>
      <c r="F8" s="21">
        <f>SUMIF('Rekap Harian'!$D$6:$D$36,A8,'Rekap Harian'!$H$6:$H$36)</f>
        <v>0</v>
      </c>
      <c r="G8" s="21">
        <f>SUMIF('Rekap Harian'!$D$6:$D$36,A8,'Rekap Harian'!$I$6:$I$36)</f>
        <v>0</v>
      </c>
      <c r="H8" s="12">
        <f t="shared" si="1"/>
        <v>0</v>
      </c>
      <c r="I8" s="22">
        <f t="shared" ref="I8:J8" si="8">C8+F8</f>
        <v>0</v>
      </c>
      <c r="J8" s="22">
        <f t="shared" si="8"/>
        <v>0</v>
      </c>
      <c r="K8" s="12">
        <f t="shared" si="3"/>
        <v>0</v>
      </c>
      <c r="L8" s="23" t="str">
        <f t="shared" si="4"/>
        <v/>
      </c>
    </row>
    <row r="10" spans="1:12" x14ac:dyDescent="0.2">
      <c r="A10" s="28" t="s">
        <v>74</v>
      </c>
      <c r="C10" s="18">
        <f t="shared" ref="C10:K10" si="9">SUM(C4:C8)</f>
        <v>254106000</v>
      </c>
      <c r="D10" s="18">
        <f t="shared" si="9"/>
        <v>221393431</v>
      </c>
      <c r="E10" s="18">
        <f t="shared" si="9"/>
        <v>32712569</v>
      </c>
      <c r="F10" s="18">
        <f t="shared" si="9"/>
        <v>112747500</v>
      </c>
      <c r="G10" s="18">
        <f t="shared" si="9"/>
        <v>120676500</v>
      </c>
      <c r="H10" s="18">
        <f t="shared" si="9"/>
        <v>-7929000</v>
      </c>
      <c r="I10" s="18">
        <f t="shared" si="9"/>
        <v>366853500</v>
      </c>
      <c r="J10" s="18">
        <f t="shared" si="9"/>
        <v>342069931</v>
      </c>
      <c r="K10" s="18">
        <f t="shared" si="9"/>
        <v>24783569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L1"/>
  </mergeCells>
  <conditionalFormatting sqref="L4:L8">
    <cfRule type="cellIs" dxfId="3" priority="1" operator="equal">
      <formula>"SURPLUS"</formula>
    </cfRule>
    <cfRule type="cellIs" dxfId="2" priority="2" operator="equal">
      <formula>"DEFISIT"</formula>
    </cfRule>
    <cfRule type="cellIs" dxfId="1" priority="3" operator="equal">
      <formula>"AMAN"</formula>
    </cfRule>
    <cfRule type="cellIs" dxfId="0" priority="4" operator="equal">
      <formula>"BELUM"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E1000"/>
  <sheetViews>
    <sheetView workbookViewId="0"/>
  </sheetViews>
  <sheetFormatPr baseColWidth="10" defaultColWidth="14.5" defaultRowHeight="15" customHeight="1" x14ac:dyDescent="0.2"/>
  <cols>
    <col min="1" max="1" width="56" customWidth="1"/>
    <col min="2" max="5" width="20" customWidth="1"/>
    <col min="6" max="26" width="8.83203125" customWidth="1"/>
  </cols>
  <sheetData>
    <row r="1" spans="1:5" ht="31.5" customHeight="1" x14ac:dyDescent="0.2">
      <c r="A1" s="33" t="s">
        <v>80</v>
      </c>
      <c r="B1" s="34"/>
      <c r="C1" s="34"/>
      <c r="D1" s="34"/>
      <c r="E1" s="34"/>
    </row>
    <row r="2" spans="1:5" ht="19.5" customHeight="1" x14ac:dyDescent="0.2">
      <c r="A2" s="1" t="s">
        <v>81</v>
      </c>
    </row>
    <row r="4" spans="1:5" ht="16" x14ac:dyDescent="0.2">
      <c r="A4" s="29" t="s">
        <v>82</v>
      </c>
    </row>
    <row r="5" spans="1:5" ht="16" x14ac:dyDescent="0.2">
      <c r="A5" s="17" t="s">
        <v>83</v>
      </c>
      <c r="B5" s="17" t="s">
        <v>59</v>
      </c>
      <c r="C5" s="17" t="s">
        <v>58</v>
      </c>
      <c r="D5" s="17" t="s">
        <v>62</v>
      </c>
      <c r="E5" s="17" t="s">
        <v>61</v>
      </c>
    </row>
    <row r="6" spans="1:5" x14ac:dyDescent="0.2">
      <c r="A6" s="20">
        <f>'Rekap Harian'!B6</f>
        <v>45901</v>
      </c>
      <c r="B6" s="21">
        <f>'Rekap Harian'!F6</f>
        <v>31728300</v>
      </c>
      <c r="C6" s="21">
        <f>'Rekap Harian'!E6</f>
        <v>28234000</v>
      </c>
      <c r="D6" s="21">
        <f>'Rekap Harian'!I6</f>
        <v>11376000</v>
      </c>
      <c r="E6" s="21">
        <f>'Rekap Harian'!H6</f>
        <v>12527500</v>
      </c>
    </row>
    <row r="7" spans="1:5" x14ac:dyDescent="0.2">
      <c r="A7" s="20">
        <f>'Rekap Harian'!B7</f>
        <v>45902</v>
      </c>
      <c r="B7" s="21">
        <f>'Rekap Harian'!F7</f>
        <v>29861200</v>
      </c>
      <c r="C7" s="21">
        <f>'Rekap Harian'!E7</f>
        <v>28234000</v>
      </c>
      <c r="D7" s="21">
        <f>'Rekap Harian'!I7</f>
        <v>1033500</v>
      </c>
      <c r="E7" s="21">
        <f>'Rekap Harian'!H7</f>
        <v>12527500</v>
      </c>
    </row>
    <row r="8" spans="1:5" x14ac:dyDescent="0.2">
      <c r="A8" s="20">
        <f>'Rekap Harian'!B8</f>
        <v>45903</v>
      </c>
      <c r="B8" s="21">
        <f>'Rekap Harian'!F8</f>
        <v>27381000</v>
      </c>
      <c r="C8" s="21">
        <f>'Rekap Harian'!E8</f>
        <v>28234000</v>
      </c>
      <c r="D8" s="21">
        <f>'Rekap Harian'!I8</f>
        <v>2768000</v>
      </c>
      <c r="E8" s="21">
        <f>'Rekap Harian'!H8</f>
        <v>12527500</v>
      </c>
    </row>
    <row r="9" spans="1:5" x14ac:dyDescent="0.2">
      <c r="A9" s="20">
        <f>'Rekap Harian'!B9</f>
        <v>45904</v>
      </c>
      <c r="B9" s="21">
        <f>'Rekap Harian'!F9</f>
        <v>20791000</v>
      </c>
      <c r="C9" s="21">
        <f>'Rekap Harian'!E9</f>
        <v>28234000</v>
      </c>
      <c r="D9" s="21">
        <f>'Rekap Harian'!I9</f>
        <v>18250000</v>
      </c>
      <c r="E9" s="21">
        <f>'Rekap Harian'!H9</f>
        <v>12527500</v>
      </c>
    </row>
    <row r="10" spans="1:5" x14ac:dyDescent="0.2">
      <c r="A10" s="20">
        <f>'Rekap Harian'!B10</f>
        <v>45905</v>
      </c>
      <c r="B10" s="21">
        <f>'Rekap Harian'!F10</f>
        <v>0</v>
      </c>
      <c r="C10" s="21">
        <f>'Rekap Harian'!E10</f>
        <v>0</v>
      </c>
      <c r="D10" s="21">
        <f>'Rekap Harian'!I10</f>
        <v>0</v>
      </c>
      <c r="E10" s="21">
        <f>'Rekap Harian'!H10</f>
        <v>0</v>
      </c>
    </row>
    <row r="11" spans="1:5" x14ac:dyDescent="0.2">
      <c r="A11" s="20">
        <f>'Rekap Harian'!B11</f>
        <v>45906</v>
      </c>
      <c r="B11" s="21">
        <f>'Rekap Harian'!F11</f>
        <v>0</v>
      </c>
      <c r="C11" s="21">
        <f>'Rekap Harian'!E11</f>
        <v>0</v>
      </c>
      <c r="D11" s="21">
        <f>'Rekap Harian'!I11</f>
        <v>0</v>
      </c>
      <c r="E11" s="21">
        <f>'Rekap Harian'!H11</f>
        <v>0</v>
      </c>
    </row>
    <row r="12" spans="1:5" x14ac:dyDescent="0.2">
      <c r="A12" s="20">
        <f>'Rekap Harian'!B12</f>
        <v>45907</v>
      </c>
      <c r="B12" s="21">
        <f>'Rekap Harian'!F12</f>
        <v>0</v>
      </c>
      <c r="C12" s="21">
        <f>'Rekap Harian'!E12</f>
        <v>0</v>
      </c>
      <c r="D12" s="21">
        <f>'Rekap Harian'!I12</f>
        <v>0</v>
      </c>
      <c r="E12" s="21">
        <f>'Rekap Harian'!H12</f>
        <v>0</v>
      </c>
    </row>
    <row r="13" spans="1:5" x14ac:dyDescent="0.2">
      <c r="A13" s="20">
        <f>'Rekap Harian'!B13</f>
        <v>45908</v>
      </c>
      <c r="B13" s="21">
        <f>'Rekap Harian'!F13</f>
        <v>23935050</v>
      </c>
      <c r="C13" s="21">
        <f>'Rekap Harian'!E13</f>
        <v>28234000</v>
      </c>
      <c r="D13" s="21">
        <f>'Rekap Harian'!I13</f>
        <v>5534000</v>
      </c>
      <c r="E13" s="21">
        <f>'Rekap Harian'!H13</f>
        <v>12527500</v>
      </c>
    </row>
    <row r="14" spans="1:5" x14ac:dyDescent="0.2">
      <c r="A14" s="20">
        <f>'Rekap Harian'!B14</f>
        <v>45909</v>
      </c>
      <c r="B14" s="21">
        <f>'Rekap Harian'!F14</f>
        <v>22762300</v>
      </c>
      <c r="C14" s="21">
        <f>'Rekap Harian'!E14</f>
        <v>28234000</v>
      </c>
      <c r="D14" s="21">
        <f>'Rekap Harian'!I14</f>
        <v>0</v>
      </c>
      <c r="E14" s="21">
        <f>'Rekap Harian'!H14</f>
        <v>12527500</v>
      </c>
    </row>
    <row r="15" spans="1:5" x14ac:dyDescent="0.2">
      <c r="A15" s="20">
        <f>'Rekap Harian'!B15</f>
        <v>45910</v>
      </c>
      <c r="B15" s="21">
        <f>'Rekap Harian'!F15</f>
        <v>16132300</v>
      </c>
      <c r="C15" s="21">
        <f>'Rekap Harian'!E15</f>
        <v>28234000</v>
      </c>
      <c r="D15" s="21">
        <f>'Rekap Harian'!I15</f>
        <v>1820000</v>
      </c>
      <c r="E15" s="21">
        <f>'Rekap Harian'!H15</f>
        <v>12527500</v>
      </c>
    </row>
    <row r="16" spans="1:5" x14ac:dyDescent="0.2">
      <c r="A16" s="20">
        <f>'Rekap Harian'!B16</f>
        <v>45911</v>
      </c>
      <c r="B16" s="21">
        <f>'Rekap Harian'!F16</f>
        <v>23274600</v>
      </c>
      <c r="C16" s="21">
        <f>'Rekap Harian'!E16</f>
        <v>28234000</v>
      </c>
      <c r="D16" s="21">
        <f>'Rekap Harian'!I16</f>
        <v>2396500</v>
      </c>
      <c r="E16" s="21">
        <f>'Rekap Harian'!H16</f>
        <v>12527500</v>
      </c>
    </row>
    <row r="17" spans="1:5" x14ac:dyDescent="0.2">
      <c r="A17" s="20">
        <f>'Rekap Harian'!B17</f>
        <v>45912</v>
      </c>
      <c r="B17" s="21">
        <f>'Rekap Harian'!F17</f>
        <v>25527681</v>
      </c>
      <c r="C17" s="21">
        <f>'Rekap Harian'!E17</f>
        <v>28234000</v>
      </c>
      <c r="D17" s="21">
        <f>'Rekap Harian'!I17</f>
        <v>77498500</v>
      </c>
      <c r="E17" s="21">
        <f>'Rekap Harian'!H17</f>
        <v>12527500</v>
      </c>
    </row>
    <row r="18" spans="1:5" x14ac:dyDescent="0.2">
      <c r="A18" s="20" t="str">
        <f>'Rekap Harian'!B18</f>
        <v/>
      </c>
      <c r="B18" s="21">
        <f>'Rekap Harian'!F18</f>
        <v>0</v>
      </c>
      <c r="C18" s="21" t="str">
        <f>'Rekap Harian'!E18</f>
        <v/>
      </c>
      <c r="D18" s="21">
        <f>'Rekap Harian'!I18</f>
        <v>0</v>
      </c>
      <c r="E18" s="21" t="str">
        <f>'Rekap Harian'!H18</f>
        <v/>
      </c>
    </row>
    <row r="19" spans="1:5" x14ac:dyDescent="0.2">
      <c r="A19" s="20" t="str">
        <f>'Rekap Harian'!B19</f>
        <v/>
      </c>
      <c r="B19" s="21">
        <f>'Rekap Harian'!F19</f>
        <v>0</v>
      </c>
      <c r="C19" s="21" t="str">
        <f>'Rekap Harian'!E19</f>
        <v/>
      </c>
      <c r="D19" s="21">
        <f>'Rekap Harian'!I19</f>
        <v>0</v>
      </c>
      <c r="E19" s="21" t="str">
        <f>'Rekap Harian'!H19</f>
        <v/>
      </c>
    </row>
    <row r="20" spans="1:5" x14ac:dyDescent="0.2">
      <c r="A20" s="20" t="str">
        <f>'Rekap Harian'!B20</f>
        <v/>
      </c>
      <c r="B20" s="21">
        <f>'Rekap Harian'!F20</f>
        <v>0</v>
      </c>
      <c r="C20" s="21" t="str">
        <f>'Rekap Harian'!E20</f>
        <v/>
      </c>
      <c r="D20" s="21">
        <f>'Rekap Harian'!I20</f>
        <v>0</v>
      </c>
      <c r="E20" s="21" t="str">
        <f>'Rekap Harian'!H20</f>
        <v/>
      </c>
    </row>
    <row r="21" spans="1:5" ht="15.75" customHeight="1" x14ac:dyDescent="0.2">
      <c r="A21" s="20" t="str">
        <f>'Rekap Harian'!B21</f>
        <v/>
      </c>
      <c r="B21" s="21">
        <f>'Rekap Harian'!F21</f>
        <v>0</v>
      </c>
      <c r="C21" s="21" t="str">
        <f>'Rekap Harian'!E21</f>
        <v/>
      </c>
      <c r="D21" s="21">
        <f>'Rekap Harian'!I21</f>
        <v>0</v>
      </c>
      <c r="E21" s="21" t="str">
        <f>'Rekap Harian'!H21</f>
        <v/>
      </c>
    </row>
    <row r="22" spans="1:5" ht="15.75" customHeight="1" x14ac:dyDescent="0.2">
      <c r="A22" s="20" t="str">
        <f>'Rekap Harian'!B22</f>
        <v/>
      </c>
      <c r="B22" s="21">
        <f>'Rekap Harian'!F22</f>
        <v>0</v>
      </c>
      <c r="C22" s="21" t="str">
        <f>'Rekap Harian'!E22</f>
        <v/>
      </c>
      <c r="D22" s="21">
        <f>'Rekap Harian'!I22</f>
        <v>0</v>
      </c>
      <c r="E22" s="21" t="str">
        <f>'Rekap Harian'!H22</f>
        <v/>
      </c>
    </row>
    <row r="23" spans="1:5" ht="15.75" customHeight="1" x14ac:dyDescent="0.2">
      <c r="A23" s="20" t="str">
        <f>'Rekap Harian'!B23</f>
        <v/>
      </c>
      <c r="B23" s="21">
        <f>'Rekap Harian'!F23</f>
        <v>0</v>
      </c>
      <c r="C23" s="21" t="str">
        <f>'Rekap Harian'!E23</f>
        <v/>
      </c>
      <c r="D23" s="21">
        <f>'Rekap Harian'!I23</f>
        <v>0</v>
      </c>
      <c r="E23" s="21" t="str">
        <f>'Rekap Harian'!H23</f>
        <v/>
      </c>
    </row>
    <row r="24" spans="1:5" ht="15.75" customHeight="1" x14ac:dyDescent="0.2">
      <c r="A24" s="20" t="str">
        <f>'Rekap Harian'!B24</f>
        <v/>
      </c>
      <c r="B24" s="21">
        <f>'Rekap Harian'!F24</f>
        <v>0</v>
      </c>
      <c r="C24" s="21" t="str">
        <f>'Rekap Harian'!E24</f>
        <v/>
      </c>
      <c r="D24" s="21">
        <f>'Rekap Harian'!I24</f>
        <v>0</v>
      </c>
      <c r="E24" s="21" t="str">
        <f>'Rekap Harian'!H24</f>
        <v/>
      </c>
    </row>
    <row r="25" spans="1:5" ht="15.75" customHeight="1" x14ac:dyDescent="0.2">
      <c r="A25" s="20" t="str">
        <f>'Rekap Harian'!B25</f>
        <v/>
      </c>
      <c r="B25" s="21">
        <f>'Rekap Harian'!F25</f>
        <v>0</v>
      </c>
      <c r="C25" s="21" t="str">
        <f>'Rekap Harian'!E25</f>
        <v/>
      </c>
      <c r="D25" s="21">
        <f>'Rekap Harian'!I25</f>
        <v>0</v>
      </c>
      <c r="E25" s="21" t="str">
        <f>'Rekap Harian'!H25</f>
        <v/>
      </c>
    </row>
    <row r="26" spans="1:5" ht="15.75" customHeight="1" x14ac:dyDescent="0.2">
      <c r="A26" s="20" t="str">
        <f>'Rekap Harian'!B26</f>
        <v/>
      </c>
      <c r="B26" s="21">
        <f>'Rekap Harian'!F26</f>
        <v>0</v>
      </c>
      <c r="C26" s="21" t="str">
        <f>'Rekap Harian'!E26</f>
        <v/>
      </c>
      <c r="D26" s="21">
        <f>'Rekap Harian'!I26</f>
        <v>0</v>
      </c>
      <c r="E26" s="21" t="str">
        <f>'Rekap Harian'!H26</f>
        <v/>
      </c>
    </row>
    <row r="27" spans="1:5" ht="15.75" customHeight="1" x14ac:dyDescent="0.2">
      <c r="A27" s="20" t="str">
        <f>'Rekap Harian'!B27</f>
        <v/>
      </c>
      <c r="B27" s="21">
        <f>'Rekap Harian'!F27</f>
        <v>0</v>
      </c>
      <c r="C27" s="21" t="str">
        <f>'Rekap Harian'!E27</f>
        <v/>
      </c>
      <c r="D27" s="21">
        <f>'Rekap Harian'!I27</f>
        <v>0</v>
      </c>
      <c r="E27" s="21" t="str">
        <f>'Rekap Harian'!H27</f>
        <v/>
      </c>
    </row>
    <row r="28" spans="1:5" ht="15.75" customHeight="1" x14ac:dyDescent="0.2">
      <c r="A28" s="20" t="str">
        <f>'Rekap Harian'!B28</f>
        <v/>
      </c>
      <c r="B28" s="21">
        <f>'Rekap Harian'!F28</f>
        <v>0</v>
      </c>
      <c r="C28" s="21" t="str">
        <f>'Rekap Harian'!E28</f>
        <v/>
      </c>
      <c r="D28" s="21">
        <f>'Rekap Harian'!I28</f>
        <v>0</v>
      </c>
      <c r="E28" s="21" t="str">
        <f>'Rekap Harian'!H28</f>
        <v/>
      </c>
    </row>
    <row r="29" spans="1:5" ht="15.75" customHeight="1" x14ac:dyDescent="0.2">
      <c r="A29" s="20" t="str">
        <f>'Rekap Harian'!B29</f>
        <v/>
      </c>
      <c r="B29" s="21">
        <f>'Rekap Harian'!F29</f>
        <v>0</v>
      </c>
      <c r="C29" s="21" t="str">
        <f>'Rekap Harian'!E29</f>
        <v/>
      </c>
      <c r="D29" s="21">
        <f>'Rekap Harian'!I29</f>
        <v>0</v>
      </c>
      <c r="E29" s="21" t="str">
        <f>'Rekap Harian'!H29</f>
        <v/>
      </c>
    </row>
    <row r="30" spans="1:5" ht="15.75" customHeight="1" x14ac:dyDescent="0.2">
      <c r="A30" s="20" t="str">
        <f>'Rekap Harian'!B30</f>
        <v/>
      </c>
      <c r="B30" s="21">
        <f>'Rekap Harian'!F30</f>
        <v>0</v>
      </c>
      <c r="C30" s="21" t="str">
        <f>'Rekap Harian'!E30</f>
        <v/>
      </c>
      <c r="D30" s="21">
        <f>'Rekap Harian'!I30</f>
        <v>0</v>
      </c>
      <c r="E30" s="21" t="str">
        <f>'Rekap Harian'!H30</f>
        <v/>
      </c>
    </row>
    <row r="31" spans="1:5" ht="15.75" customHeight="1" x14ac:dyDescent="0.2">
      <c r="A31" s="20" t="str">
        <f>'Rekap Harian'!B31</f>
        <v/>
      </c>
      <c r="B31" s="21">
        <f>'Rekap Harian'!F31</f>
        <v>0</v>
      </c>
      <c r="C31" s="21" t="str">
        <f>'Rekap Harian'!E31</f>
        <v/>
      </c>
      <c r="D31" s="21">
        <f>'Rekap Harian'!I31</f>
        <v>0</v>
      </c>
      <c r="E31" s="21" t="str">
        <f>'Rekap Harian'!H31</f>
        <v/>
      </c>
    </row>
    <row r="32" spans="1:5" ht="15.75" customHeight="1" x14ac:dyDescent="0.2">
      <c r="A32" s="20" t="str">
        <f>'Rekap Harian'!B32</f>
        <v/>
      </c>
      <c r="B32" s="21">
        <f>'Rekap Harian'!F32</f>
        <v>0</v>
      </c>
      <c r="C32" s="21" t="str">
        <f>'Rekap Harian'!E32</f>
        <v/>
      </c>
      <c r="D32" s="21">
        <f>'Rekap Harian'!I32</f>
        <v>0</v>
      </c>
      <c r="E32" s="21" t="str">
        <f>'Rekap Harian'!H32</f>
        <v/>
      </c>
    </row>
    <row r="33" spans="1:5" ht="15.75" customHeight="1" x14ac:dyDescent="0.2">
      <c r="A33" s="20" t="str">
        <f>'Rekap Harian'!B33</f>
        <v/>
      </c>
      <c r="B33" s="21">
        <f>'Rekap Harian'!F33</f>
        <v>0</v>
      </c>
      <c r="C33" s="21" t="str">
        <f>'Rekap Harian'!E33</f>
        <v/>
      </c>
      <c r="D33" s="21">
        <f>'Rekap Harian'!I33</f>
        <v>0</v>
      </c>
      <c r="E33" s="21" t="str">
        <f>'Rekap Harian'!H33</f>
        <v/>
      </c>
    </row>
    <row r="34" spans="1:5" ht="15.75" customHeight="1" x14ac:dyDescent="0.2">
      <c r="A34" s="20" t="str">
        <f>'Rekap Harian'!B34</f>
        <v/>
      </c>
      <c r="B34" s="21">
        <f>'Rekap Harian'!F34</f>
        <v>0</v>
      </c>
      <c r="C34" s="21" t="str">
        <f>'Rekap Harian'!E34</f>
        <v/>
      </c>
      <c r="D34" s="21">
        <f>'Rekap Harian'!I34</f>
        <v>0</v>
      </c>
      <c r="E34" s="21" t="str">
        <f>'Rekap Harian'!H34</f>
        <v/>
      </c>
    </row>
    <row r="35" spans="1:5" ht="15.75" customHeight="1" x14ac:dyDescent="0.2">
      <c r="A35" s="20" t="str">
        <f>'Rekap Harian'!B35</f>
        <v/>
      </c>
      <c r="B35" s="21">
        <f>'Rekap Harian'!F35</f>
        <v>0</v>
      </c>
      <c r="C35" s="21" t="str">
        <f>'Rekap Harian'!E35</f>
        <v/>
      </c>
      <c r="D35" s="21">
        <f>'Rekap Harian'!I35</f>
        <v>0</v>
      </c>
      <c r="E35" s="21" t="str">
        <f>'Rekap Harian'!H35</f>
        <v/>
      </c>
    </row>
    <row r="36" spans="1:5" ht="15.75" customHeight="1" x14ac:dyDescent="0.2">
      <c r="A36" s="20" t="str">
        <f>'Rekap Harian'!B36</f>
        <v/>
      </c>
      <c r="B36" s="21">
        <f>'Rekap Harian'!F36</f>
        <v>0</v>
      </c>
      <c r="C36" s="21" t="str">
        <f>'Rekap Harian'!E36</f>
        <v/>
      </c>
      <c r="D36" s="21">
        <f>'Rekap Harian'!I36</f>
        <v>0</v>
      </c>
      <c r="E36" s="21" t="str">
        <f>'Rekap Harian'!H36</f>
        <v/>
      </c>
    </row>
    <row r="37" spans="1:5" ht="15.75" customHeight="1" x14ac:dyDescent="0.2"/>
    <row r="38" spans="1:5" ht="15.75" customHeight="1" x14ac:dyDescent="0.2">
      <c r="A38" s="29" t="s">
        <v>84</v>
      </c>
    </row>
    <row r="39" spans="1:5" ht="15.75" customHeight="1" x14ac:dyDescent="0.2">
      <c r="A39" s="17" t="s">
        <v>83</v>
      </c>
      <c r="B39" s="17" t="s">
        <v>85</v>
      </c>
      <c r="C39" s="17" t="s">
        <v>86</v>
      </c>
    </row>
    <row r="40" spans="1:5" ht="15.75" customHeight="1" x14ac:dyDescent="0.2">
      <c r="A40" s="20">
        <f>'Rekap Harian'!B6</f>
        <v>45901</v>
      </c>
      <c r="B40" s="19">
        <f>IF('Rekap Harian'!M6&gt;0,'Rekap Harian'!M6,0)</f>
        <v>0</v>
      </c>
      <c r="C40" s="5">
        <f>IF('Rekap Harian'!M6&lt;0,-'Rekap Harian'!M6,0)</f>
        <v>2342800</v>
      </c>
    </row>
    <row r="41" spans="1:5" ht="15.75" customHeight="1" x14ac:dyDescent="0.2">
      <c r="A41" s="20">
        <f>'Rekap Harian'!B7</f>
        <v>45902</v>
      </c>
      <c r="B41" s="19">
        <f>IF('Rekap Harian'!M7&gt;0,'Rekap Harian'!M7,0)</f>
        <v>9866800</v>
      </c>
      <c r="C41" s="5">
        <f>IF('Rekap Harian'!M7&lt;0,-'Rekap Harian'!M7,0)</f>
        <v>0</v>
      </c>
    </row>
    <row r="42" spans="1:5" ht="15.75" customHeight="1" x14ac:dyDescent="0.2">
      <c r="A42" s="20">
        <f>'Rekap Harian'!B8</f>
        <v>45903</v>
      </c>
      <c r="B42" s="19">
        <f>IF('Rekap Harian'!M8&gt;0,'Rekap Harian'!M8,0)</f>
        <v>10612500</v>
      </c>
      <c r="C42" s="5">
        <f>IF('Rekap Harian'!M8&lt;0,-'Rekap Harian'!M8,0)</f>
        <v>0</v>
      </c>
    </row>
    <row r="43" spans="1:5" ht="15.75" customHeight="1" x14ac:dyDescent="0.2">
      <c r="A43" s="20">
        <f>'Rekap Harian'!B9</f>
        <v>45904</v>
      </c>
      <c r="B43" s="19">
        <f>IF('Rekap Harian'!M9&gt;0,'Rekap Harian'!M9,0)</f>
        <v>1720500</v>
      </c>
      <c r="C43" s="5">
        <f>IF('Rekap Harian'!M9&lt;0,-'Rekap Harian'!M9,0)</f>
        <v>0</v>
      </c>
    </row>
    <row r="44" spans="1:5" ht="15.75" customHeight="1" x14ac:dyDescent="0.2">
      <c r="A44" s="20">
        <f>'Rekap Harian'!B10</f>
        <v>45905</v>
      </c>
      <c r="B44" s="19">
        <f>IF('Rekap Harian'!M10&gt;0,'Rekap Harian'!M10,0)</f>
        <v>0</v>
      </c>
      <c r="C44" s="5">
        <f>IF('Rekap Harian'!M10&lt;0,-'Rekap Harian'!M10,0)</f>
        <v>0</v>
      </c>
    </row>
    <row r="45" spans="1:5" ht="15.75" customHeight="1" x14ac:dyDescent="0.2">
      <c r="A45" s="20">
        <f>'Rekap Harian'!B11</f>
        <v>45906</v>
      </c>
      <c r="B45" s="19">
        <f>IF('Rekap Harian'!M11&gt;0,'Rekap Harian'!M11,0)</f>
        <v>0</v>
      </c>
      <c r="C45" s="5">
        <f>IF('Rekap Harian'!M11&lt;0,-'Rekap Harian'!M11,0)</f>
        <v>0</v>
      </c>
    </row>
    <row r="46" spans="1:5" ht="15.75" customHeight="1" x14ac:dyDescent="0.2">
      <c r="A46" s="20">
        <f>'Rekap Harian'!B12</f>
        <v>45907</v>
      </c>
      <c r="B46" s="19">
        <f>IF('Rekap Harian'!M12&gt;0,'Rekap Harian'!M12,0)</f>
        <v>0</v>
      </c>
      <c r="C46" s="5">
        <f>IF('Rekap Harian'!M12&lt;0,-'Rekap Harian'!M12,0)</f>
        <v>0</v>
      </c>
    </row>
    <row r="47" spans="1:5" ht="15.75" customHeight="1" x14ac:dyDescent="0.2">
      <c r="A47" s="20">
        <f>'Rekap Harian'!B13</f>
        <v>45908</v>
      </c>
      <c r="B47" s="19">
        <f>IF('Rekap Harian'!M13&gt;0,'Rekap Harian'!M13,0)</f>
        <v>11292450</v>
      </c>
      <c r="C47" s="5">
        <f>IF('Rekap Harian'!M13&lt;0,-'Rekap Harian'!M13,0)</f>
        <v>0</v>
      </c>
    </row>
    <row r="48" spans="1:5" ht="15.75" customHeight="1" x14ac:dyDescent="0.2">
      <c r="A48" s="20">
        <f>'Rekap Harian'!B14</f>
        <v>45909</v>
      </c>
      <c r="B48" s="19">
        <f>IF('Rekap Harian'!M14&gt;0,'Rekap Harian'!M14,0)</f>
        <v>17999200</v>
      </c>
      <c r="C48" s="5">
        <f>IF('Rekap Harian'!M14&lt;0,-'Rekap Harian'!M14,0)</f>
        <v>0</v>
      </c>
    </row>
    <row r="49" spans="1:3" ht="15.75" customHeight="1" x14ac:dyDescent="0.2">
      <c r="A49" s="20">
        <f>'Rekap Harian'!B15</f>
        <v>45910</v>
      </c>
      <c r="B49" s="19">
        <f>IF('Rekap Harian'!M15&gt;0,'Rekap Harian'!M15,0)</f>
        <v>22809200</v>
      </c>
      <c r="C49" s="5">
        <f>IF('Rekap Harian'!M15&lt;0,-'Rekap Harian'!M15,0)</f>
        <v>0</v>
      </c>
    </row>
    <row r="50" spans="1:3" ht="15.75" customHeight="1" x14ac:dyDescent="0.2">
      <c r="A50" s="20">
        <f>'Rekap Harian'!B16</f>
        <v>45911</v>
      </c>
      <c r="B50" s="19">
        <f>IF('Rekap Harian'!M16&gt;0,'Rekap Harian'!M16,0)</f>
        <v>15090400</v>
      </c>
      <c r="C50" s="5">
        <f>IF('Rekap Harian'!M16&lt;0,-'Rekap Harian'!M16,0)</f>
        <v>0</v>
      </c>
    </row>
    <row r="51" spans="1:3" ht="15.75" customHeight="1" x14ac:dyDescent="0.2">
      <c r="A51" s="20">
        <f>'Rekap Harian'!B17</f>
        <v>45912</v>
      </c>
      <c r="B51" s="19">
        <f>IF('Rekap Harian'!M17&gt;0,'Rekap Harian'!M17,0)</f>
        <v>0</v>
      </c>
      <c r="C51" s="5">
        <f>IF('Rekap Harian'!M17&lt;0,-'Rekap Harian'!M17,0)</f>
        <v>62264681</v>
      </c>
    </row>
    <row r="52" spans="1:3" ht="15.75" customHeight="1" x14ac:dyDescent="0.2">
      <c r="A52" s="20" t="str">
        <f>'Rekap Harian'!B18</f>
        <v/>
      </c>
      <c r="B52" s="19" t="e">
        <f>IF('Rekap Harian'!M18&gt;0,'Rekap Harian'!M18,0)</f>
        <v>#VALUE!</v>
      </c>
      <c r="C52" s="5" t="e">
        <f>IF('Rekap Harian'!M18&lt;0,-'Rekap Harian'!M18,0)</f>
        <v>#VALUE!</v>
      </c>
    </row>
    <row r="53" spans="1:3" ht="15.75" customHeight="1" x14ac:dyDescent="0.2">
      <c r="A53" s="20" t="str">
        <f>'Rekap Harian'!B19</f>
        <v/>
      </c>
      <c r="B53" s="19" t="e">
        <f>IF('Rekap Harian'!M19&gt;0,'Rekap Harian'!M19,0)</f>
        <v>#VALUE!</v>
      </c>
      <c r="C53" s="5" t="e">
        <f>IF('Rekap Harian'!M19&lt;0,-'Rekap Harian'!M19,0)</f>
        <v>#VALUE!</v>
      </c>
    </row>
    <row r="54" spans="1:3" ht="15.75" customHeight="1" x14ac:dyDescent="0.2">
      <c r="A54" s="20" t="str">
        <f>'Rekap Harian'!B20</f>
        <v/>
      </c>
      <c r="B54" s="19" t="e">
        <f>IF('Rekap Harian'!M20&gt;0,'Rekap Harian'!M20,0)</f>
        <v>#VALUE!</v>
      </c>
      <c r="C54" s="5" t="e">
        <f>IF('Rekap Harian'!M20&lt;0,-'Rekap Harian'!M20,0)</f>
        <v>#VALUE!</v>
      </c>
    </row>
    <row r="55" spans="1:3" ht="15.75" customHeight="1" x14ac:dyDescent="0.2">
      <c r="A55" s="20" t="str">
        <f>'Rekap Harian'!B21</f>
        <v/>
      </c>
      <c r="B55" s="19" t="e">
        <f>IF('Rekap Harian'!M21&gt;0,'Rekap Harian'!M21,0)</f>
        <v>#VALUE!</v>
      </c>
      <c r="C55" s="5" t="e">
        <f>IF('Rekap Harian'!M21&lt;0,-'Rekap Harian'!M21,0)</f>
        <v>#VALUE!</v>
      </c>
    </row>
    <row r="56" spans="1:3" ht="15.75" customHeight="1" x14ac:dyDescent="0.2">
      <c r="A56" s="20" t="str">
        <f>'Rekap Harian'!B22</f>
        <v/>
      </c>
      <c r="B56" s="19" t="e">
        <f>IF('Rekap Harian'!M22&gt;0,'Rekap Harian'!M22,0)</f>
        <v>#VALUE!</v>
      </c>
      <c r="C56" s="5" t="e">
        <f>IF('Rekap Harian'!M22&lt;0,-'Rekap Harian'!M22,0)</f>
        <v>#VALUE!</v>
      </c>
    </row>
    <row r="57" spans="1:3" ht="15.75" customHeight="1" x14ac:dyDescent="0.2">
      <c r="A57" s="20" t="str">
        <f>'Rekap Harian'!B23</f>
        <v/>
      </c>
      <c r="B57" s="19" t="e">
        <f>IF('Rekap Harian'!M23&gt;0,'Rekap Harian'!M23,0)</f>
        <v>#VALUE!</v>
      </c>
      <c r="C57" s="5" t="e">
        <f>IF('Rekap Harian'!M23&lt;0,-'Rekap Harian'!M23,0)</f>
        <v>#VALUE!</v>
      </c>
    </row>
    <row r="58" spans="1:3" ht="15.75" customHeight="1" x14ac:dyDescent="0.2">
      <c r="A58" s="20" t="str">
        <f>'Rekap Harian'!B24</f>
        <v/>
      </c>
      <c r="B58" s="19" t="e">
        <f>IF('Rekap Harian'!M24&gt;0,'Rekap Harian'!M24,0)</f>
        <v>#VALUE!</v>
      </c>
      <c r="C58" s="5" t="e">
        <f>IF('Rekap Harian'!M24&lt;0,-'Rekap Harian'!M24,0)</f>
        <v>#VALUE!</v>
      </c>
    </row>
    <row r="59" spans="1:3" ht="15.75" customHeight="1" x14ac:dyDescent="0.2">
      <c r="A59" s="20" t="str">
        <f>'Rekap Harian'!B25</f>
        <v/>
      </c>
      <c r="B59" s="19" t="e">
        <f>IF('Rekap Harian'!M25&gt;0,'Rekap Harian'!M25,0)</f>
        <v>#VALUE!</v>
      </c>
      <c r="C59" s="5" t="e">
        <f>IF('Rekap Harian'!M25&lt;0,-'Rekap Harian'!M25,0)</f>
        <v>#VALUE!</v>
      </c>
    </row>
    <row r="60" spans="1:3" ht="15.75" customHeight="1" x14ac:dyDescent="0.2">
      <c r="A60" s="20" t="str">
        <f>'Rekap Harian'!B26</f>
        <v/>
      </c>
      <c r="B60" s="19" t="e">
        <f>IF('Rekap Harian'!M26&gt;0,'Rekap Harian'!M26,0)</f>
        <v>#VALUE!</v>
      </c>
      <c r="C60" s="5" t="e">
        <f>IF('Rekap Harian'!M26&lt;0,-'Rekap Harian'!M26,0)</f>
        <v>#VALUE!</v>
      </c>
    </row>
    <row r="61" spans="1:3" ht="15.75" customHeight="1" x14ac:dyDescent="0.2">
      <c r="A61" s="20" t="str">
        <f>'Rekap Harian'!B27</f>
        <v/>
      </c>
      <c r="B61" s="19" t="e">
        <f>IF('Rekap Harian'!M27&gt;0,'Rekap Harian'!M27,0)</f>
        <v>#VALUE!</v>
      </c>
      <c r="C61" s="5" t="e">
        <f>IF('Rekap Harian'!M27&lt;0,-'Rekap Harian'!M27,0)</f>
        <v>#VALUE!</v>
      </c>
    </row>
    <row r="62" spans="1:3" ht="15.75" customHeight="1" x14ac:dyDescent="0.2">
      <c r="A62" s="20" t="str">
        <f>'Rekap Harian'!B28</f>
        <v/>
      </c>
      <c r="B62" s="19" t="e">
        <f>IF('Rekap Harian'!M28&gt;0,'Rekap Harian'!M28,0)</f>
        <v>#VALUE!</v>
      </c>
      <c r="C62" s="5" t="e">
        <f>IF('Rekap Harian'!M28&lt;0,-'Rekap Harian'!M28,0)</f>
        <v>#VALUE!</v>
      </c>
    </row>
    <row r="63" spans="1:3" ht="15.75" customHeight="1" x14ac:dyDescent="0.2">
      <c r="A63" s="20" t="str">
        <f>'Rekap Harian'!B29</f>
        <v/>
      </c>
      <c r="B63" s="19" t="e">
        <f>IF('Rekap Harian'!M29&gt;0,'Rekap Harian'!M29,0)</f>
        <v>#VALUE!</v>
      </c>
      <c r="C63" s="5" t="e">
        <f>IF('Rekap Harian'!M29&lt;0,-'Rekap Harian'!M29,0)</f>
        <v>#VALUE!</v>
      </c>
    </row>
    <row r="64" spans="1:3" ht="15.75" customHeight="1" x14ac:dyDescent="0.2">
      <c r="A64" s="20" t="str">
        <f>'Rekap Harian'!B30</f>
        <v/>
      </c>
      <c r="B64" s="19" t="e">
        <f>IF('Rekap Harian'!M30&gt;0,'Rekap Harian'!M30,0)</f>
        <v>#VALUE!</v>
      </c>
      <c r="C64" s="5" t="e">
        <f>IF('Rekap Harian'!M30&lt;0,-'Rekap Harian'!M30,0)</f>
        <v>#VALUE!</v>
      </c>
    </row>
    <row r="65" spans="1:5" ht="15.75" customHeight="1" x14ac:dyDescent="0.2">
      <c r="A65" s="20" t="str">
        <f>'Rekap Harian'!B31</f>
        <v/>
      </c>
      <c r="B65" s="19" t="e">
        <f>IF('Rekap Harian'!M31&gt;0,'Rekap Harian'!M31,0)</f>
        <v>#VALUE!</v>
      </c>
      <c r="C65" s="5" t="e">
        <f>IF('Rekap Harian'!M31&lt;0,-'Rekap Harian'!M31,0)</f>
        <v>#VALUE!</v>
      </c>
    </row>
    <row r="66" spans="1:5" ht="15.75" customHeight="1" x14ac:dyDescent="0.2">
      <c r="A66" s="20" t="str">
        <f>'Rekap Harian'!B32</f>
        <v/>
      </c>
      <c r="B66" s="19" t="e">
        <f>IF('Rekap Harian'!M32&gt;0,'Rekap Harian'!M32,0)</f>
        <v>#VALUE!</v>
      </c>
      <c r="C66" s="5" t="e">
        <f>IF('Rekap Harian'!M32&lt;0,-'Rekap Harian'!M32,0)</f>
        <v>#VALUE!</v>
      </c>
    </row>
    <row r="67" spans="1:5" ht="15.75" customHeight="1" x14ac:dyDescent="0.2">
      <c r="A67" s="20" t="str">
        <f>'Rekap Harian'!B33</f>
        <v/>
      </c>
      <c r="B67" s="19" t="e">
        <f>IF('Rekap Harian'!M33&gt;0,'Rekap Harian'!M33,0)</f>
        <v>#VALUE!</v>
      </c>
      <c r="C67" s="5" t="e">
        <f>IF('Rekap Harian'!M33&lt;0,-'Rekap Harian'!M33,0)</f>
        <v>#VALUE!</v>
      </c>
    </row>
    <row r="68" spans="1:5" ht="15.75" customHeight="1" x14ac:dyDescent="0.2">
      <c r="A68" s="20" t="str">
        <f>'Rekap Harian'!B34</f>
        <v/>
      </c>
      <c r="B68" s="19" t="e">
        <f>IF('Rekap Harian'!M34&gt;0,'Rekap Harian'!M34,0)</f>
        <v>#VALUE!</v>
      </c>
      <c r="C68" s="5" t="e">
        <f>IF('Rekap Harian'!M34&lt;0,-'Rekap Harian'!M34,0)</f>
        <v>#VALUE!</v>
      </c>
    </row>
    <row r="69" spans="1:5" ht="15.75" customHeight="1" x14ac:dyDescent="0.2">
      <c r="A69" s="20" t="str">
        <f>'Rekap Harian'!B35</f>
        <v/>
      </c>
      <c r="B69" s="19" t="e">
        <f>IF('Rekap Harian'!M35&gt;0,'Rekap Harian'!M35,0)</f>
        <v>#VALUE!</v>
      </c>
      <c r="C69" s="5" t="e">
        <f>IF('Rekap Harian'!M35&lt;0,-'Rekap Harian'!M35,0)</f>
        <v>#VALUE!</v>
      </c>
    </row>
    <row r="70" spans="1:5" ht="15.75" customHeight="1" x14ac:dyDescent="0.2">
      <c r="A70" s="20" t="str">
        <f>'Rekap Harian'!B36</f>
        <v/>
      </c>
      <c r="B70" s="19" t="e">
        <f>IF('Rekap Harian'!M36&gt;0,'Rekap Harian'!M36,0)</f>
        <v>#VALUE!</v>
      </c>
      <c r="C70" s="5" t="e">
        <f>IF('Rekap Harian'!M36&lt;0,-'Rekap Harian'!M36,0)</f>
        <v>#VALUE!</v>
      </c>
    </row>
    <row r="71" spans="1:5" ht="15.75" customHeight="1" x14ac:dyDescent="0.2"/>
    <row r="72" spans="1:5" ht="15.75" customHeight="1" x14ac:dyDescent="0.2">
      <c r="A72" s="29" t="s">
        <v>87</v>
      </c>
    </row>
    <row r="73" spans="1:5" ht="15.75" customHeight="1" x14ac:dyDescent="0.2">
      <c r="A73" s="17" t="s">
        <v>88</v>
      </c>
      <c r="B73" s="17" t="s">
        <v>59</v>
      </c>
      <c r="C73" s="17" t="s">
        <v>58</v>
      </c>
      <c r="D73" s="17" t="s">
        <v>62</v>
      </c>
      <c r="E73" s="17" t="s">
        <v>61</v>
      </c>
    </row>
    <row r="74" spans="1:5" ht="15.75" customHeight="1" x14ac:dyDescent="0.2">
      <c r="A74" s="3" t="str">
        <f t="shared" ref="A74:A78" si="0">"Mg "&amp;A4</f>
        <v>Mg 1. Tren Harian - Pangan &amp; Operasional vs Pagu</v>
      </c>
      <c r="B74" s="21">
        <f>'Rekap Mingguan'!D4</f>
        <v>109761500</v>
      </c>
      <c r="C74" s="21">
        <f>'Rekap Mingguan'!C4</f>
        <v>112936000</v>
      </c>
      <c r="D74" s="21">
        <f>'Rekap Mingguan'!G4</f>
        <v>33427500</v>
      </c>
      <c r="E74" s="21">
        <f>'Rekap Mingguan'!F4</f>
        <v>50110000</v>
      </c>
    </row>
    <row r="75" spans="1:5" ht="15.75" customHeight="1" x14ac:dyDescent="0.2">
      <c r="A75" s="3" t="str">
        <f t="shared" si="0"/>
        <v>Mg Tgl</v>
      </c>
      <c r="B75" s="21">
        <f>'Rekap Mingguan'!D5</f>
        <v>111631931</v>
      </c>
      <c r="C75" s="21">
        <f>'Rekap Mingguan'!C5</f>
        <v>141170000</v>
      </c>
      <c r="D75" s="21">
        <f>'Rekap Mingguan'!G5</f>
        <v>87249000</v>
      </c>
      <c r="E75" s="21">
        <f>'Rekap Mingguan'!F5</f>
        <v>62637500</v>
      </c>
    </row>
    <row r="76" spans="1:5" ht="15.75" customHeight="1" x14ac:dyDescent="0.2">
      <c r="A76" s="3" t="str">
        <f t="shared" si="0"/>
        <v>Mg 45901</v>
      </c>
      <c r="B76" s="21">
        <f>'Rekap Mingguan'!D6</f>
        <v>0</v>
      </c>
      <c r="C76" s="21">
        <f>'Rekap Mingguan'!C6</f>
        <v>0</v>
      </c>
      <c r="D76" s="21">
        <f>'Rekap Mingguan'!G6</f>
        <v>0</v>
      </c>
      <c r="E76" s="21">
        <f>'Rekap Mingguan'!F6</f>
        <v>0</v>
      </c>
    </row>
    <row r="77" spans="1:5" ht="15.75" customHeight="1" x14ac:dyDescent="0.2">
      <c r="A77" s="3" t="str">
        <f t="shared" si="0"/>
        <v>Mg 45902</v>
      </c>
      <c r="B77" s="21">
        <f>'Rekap Mingguan'!D7</f>
        <v>0</v>
      </c>
      <c r="C77" s="21">
        <f>'Rekap Mingguan'!C7</f>
        <v>0</v>
      </c>
      <c r="D77" s="21">
        <f>'Rekap Mingguan'!G7</f>
        <v>0</v>
      </c>
      <c r="E77" s="21">
        <f>'Rekap Mingguan'!F7</f>
        <v>0</v>
      </c>
    </row>
    <row r="78" spans="1:5" ht="15.75" customHeight="1" x14ac:dyDescent="0.2">
      <c r="A78" s="3" t="str">
        <f t="shared" si="0"/>
        <v>Mg 45903</v>
      </c>
      <c r="B78" s="21">
        <f>'Rekap Mingguan'!D8</f>
        <v>0</v>
      </c>
      <c r="C78" s="21">
        <f>'Rekap Mingguan'!C8</f>
        <v>0</v>
      </c>
      <c r="D78" s="21">
        <f>'Rekap Mingguan'!G8</f>
        <v>0</v>
      </c>
      <c r="E78" s="21">
        <f>'Rekap Mingguan'!F8</f>
        <v>0</v>
      </c>
    </row>
    <row r="79" spans="1:5" ht="15.75" customHeight="1" x14ac:dyDescent="0.2"/>
    <row r="80" spans="1:5" ht="15.75" customHeight="1" x14ac:dyDescent="0.2">
      <c r="A80" s="29" t="s">
        <v>89</v>
      </c>
    </row>
    <row r="81" spans="1:4" ht="15.75" customHeight="1" x14ac:dyDescent="0.2">
      <c r="A81" s="17" t="s">
        <v>90</v>
      </c>
      <c r="B81" s="17" t="s">
        <v>91</v>
      </c>
      <c r="C81" s="17" t="s">
        <v>92</v>
      </c>
    </row>
    <row r="82" spans="1:4" ht="15.75" customHeight="1" x14ac:dyDescent="0.2">
      <c r="A82" s="24" t="s">
        <v>93</v>
      </c>
      <c r="B82" s="21">
        <f>SUM('Rekap Harian'!$F$6:$F$36)</f>
        <v>221393431</v>
      </c>
      <c r="C82" s="14">
        <f>IF((SUM('Rekap Harian'!$F$6:$F$36)+SUM('Rekap Harian'!$I$6:$I$36))=0,0,B82/(SUM('Rekap Harian'!$F$6:$F$36)+SUM('Rekap Harian'!$I$6:$I$36)))</f>
        <v>0.64721687273939321</v>
      </c>
    </row>
    <row r="83" spans="1:4" ht="15.75" customHeight="1" x14ac:dyDescent="0.2">
      <c r="A83" s="24" t="s">
        <v>94</v>
      </c>
      <c r="B83" s="21">
        <f>SUM('Rekap Harian'!$I$6:$I$36)</f>
        <v>120676500</v>
      </c>
      <c r="C83" s="14">
        <f>IF((SUM('Rekap Harian'!$F$6:$F$36)+SUM('Rekap Harian'!$I$6:$I$36))=0,0,B83/(SUM('Rekap Harian'!$F$6:$F$36)+SUM('Rekap Harian'!$I$6:$I$36)))</f>
        <v>0.35278312726060684</v>
      </c>
    </row>
    <row r="84" spans="1:4" ht="15.75" customHeight="1" x14ac:dyDescent="0.2"/>
    <row r="85" spans="1:4" ht="15.75" customHeight="1" x14ac:dyDescent="0.2">
      <c r="A85" s="29" t="s">
        <v>95</v>
      </c>
    </row>
    <row r="86" spans="1:4" ht="15.75" customHeight="1" x14ac:dyDescent="0.2">
      <c r="A86" s="17" t="s">
        <v>90</v>
      </c>
      <c r="B86" s="17" t="s">
        <v>96</v>
      </c>
      <c r="C86" s="17" t="s">
        <v>7</v>
      </c>
      <c r="D86" s="17" t="s">
        <v>8</v>
      </c>
    </row>
    <row r="87" spans="1:4" ht="15.75" customHeight="1" x14ac:dyDescent="0.2">
      <c r="A87" s="24" t="s">
        <v>93</v>
      </c>
      <c r="B87" s="21">
        <f>Pengaturan!B8</f>
        <v>282340000</v>
      </c>
      <c r="C87" s="21">
        <f>SUM('Rekap Harian'!$F$6:$F$36)</f>
        <v>221393431</v>
      </c>
      <c r="D87" s="21">
        <f t="shared" ref="D87:D88" si="1">B87-C87</f>
        <v>60946569</v>
      </c>
    </row>
    <row r="88" spans="1:4" ht="15.75" customHeight="1" x14ac:dyDescent="0.2">
      <c r="A88" s="24" t="s">
        <v>94</v>
      </c>
      <c r="B88" s="21">
        <f>Pengaturan!B9</f>
        <v>150330000</v>
      </c>
      <c r="C88" s="21">
        <f>SUM('Rekap Harian'!$I$6:$I$36)</f>
        <v>120676500</v>
      </c>
      <c r="D88" s="21">
        <f t="shared" si="1"/>
        <v>29653500</v>
      </c>
    </row>
    <row r="89" spans="1:4" ht="15.75" customHeight="1" x14ac:dyDescent="0.2"/>
    <row r="90" spans="1:4" ht="15.75" customHeight="1" x14ac:dyDescent="0.2"/>
    <row r="91" spans="1:4" ht="15.75" customHeight="1" x14ac:dyDescent="0.2"/>
    <row r="92" spans="1:4" ht="15.75" customHeight="1" x14ac:dyDescent="0.2"/>
    <row r="93" spans="1:4" ht="15.75" customHeight="1" x14ac:dyDescent="0.2"/>
    <row r="94" spans="1:4" ht="15.75" customHeight="1" x14ac:dyDescent="0.2"/>
    <row r="95" spans="1:4" ht="15.75" customHeight="1" x14ac:dyDescent="0.2"/>
    <row r="96" spans="1: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C1000"/>
  <sheetViews>
    <sheetView workbookViewId="0"/>
  </sheetViews>
  <sheetFormatPr baseColWidth="10" defaultColWidth="14.5" defaultRowHeight="15" customHeight="1" x14ac:dyDescent="0.2"/>
  <cols>
    <col min="1" max="1" width="38" customWidth="1"/>
    <col min="2" max="2" width="27.83203125" customWidth="1"/>
    <col min="3" max="3" width="30" customWidth="1"/>
    <col min="4" max="26" width="8.83203125" customWidth="1"/>
  </cols>
  <sheetData>
    <row r="1" spans="1:3" ht="31.5" customHeight="1" x14ac:dyDescent="0.2">
      <c r="A1" s="33" t="s">
        <v>97</v>
      </c>
      <c r="B1" s="34"/>
      <c r="C1" s="34"/>
    </row>
    <row r="2" spans="1:3" ht="19.5" customHeight="1" x14ac:dyDescent="0.2">
      <c r="A2" s="1" t="s">
        <v>98</v>
      </c>
    </row>
    <row r="3" spans="1:3" x14ac:dyDescent="0.2">
      <c r="A3" s="2" t="s">
        <v>99</v>
      </c>
      <c r="B3" s="20">
        <v>45901</v>
      </c>
      <c r="C3" s="13" t="s">
        <v>100</v>
      </c>
    </row>
    <row r="4" spans="1:3" x14ac:dyDescent="0.2">
      <c r="A4" s="2" t="s">
        <v>101</v>
      </c>
      <c r="B4" s="20">
        <v>45912</v>
      </c>
      <c r="C4" s="13" t="s">
        <v>100</v>
      </c>
    </row>
    <row r="5" spans="1:3" x14ac:dyDescent="0.2">
      <c r="A5" s="2" t="s">
        <v>102</v>
      </c>
      <c r="B5" s="30">
        <f>B4-B3+1</f>
        <v>12</v>
      </c>
      <c r="C5" s="13" t="s">
        <v>103</v>
      </c>
    </row>
    <row r="7" spans="1:3" ht="16" x14ac:dyDescent="0.2">
      <c r="A7" s="31" t="s">
        <v>104</v>
      </c>
    </row>
    <row r="8" spans="1:3" x14ac:dyDescent="0.2">
      <c r="A8" s="2" t="s">
        <v>15</v>
      </c>
      <c r="B8" s="21">
        <v>282340000</v>
      </c>
      <c r="C8" s="13" t="s">
        <v>105</v>
      </c>
    </row>
    <row r="9" spans="1:3" x14ac:dyDescent="0.2">
      <c r="A9" s="2" t="s">
        <v>23</v>
      </c>
      <c r="B9" s="21">
        <f>90330000+60000000</f>
        <v>150330000</v>
      </c>
      <c r="C9" s="13" t="s">
        <v>105</v>
      </c>
    </row>
    <row r="10" spans="1:3" x14ac:dyDescent="0.2">
      <c r="A10" s="2" t="s">
        <v>106</v>
      </c>
      <c r="B10" s="18">
        <f>B8+B9</f>
        <v>432670000</v>
      </c>
    </row>
    <row r="12" spans="1:3" ht="16" x14ac:dyDescent="0.2">
      <c r="A12" s="31" t="s">
        <v>107</v>
      </c>
    </row>
    <row r="13" spans="1:3" x14ac:dyDescent="0.2">
      <c r="A13" s="2" t="s">
        <v>108</v>
      </c>
      <c r="B13" s="21">
        <v>28234000</v>
      </c>
      <c r="C13" s="13" t="s">
        <v>109</v>
      </c>
    </row>
    <row r="14" spans="1:3" x14ac:dyDescent="0.2">
      <c r="A14" s="2" t="s">
        <v>110</v>
      </c>
      <c r="B14" s="21">
        <v>12527500</v>
      </c>
      <c r="C14" s="13" t="s">
        <v>111</v>
      </c>
    </row>
    <row r="15" spans="1:3" x14ac:dyDescent="0.2">
      <c r="A15" s="2" t="s">
        <v>112</v>
      </c>
      <c r="B15" s="22">
        <f>SUM(B13:B14)</f>
        <v>40761500</v>
      </c>
      <c r="C15" s="13" t="s">
        <v>113</v>
      </c>
    </row>
    <row r="17" spans="1:2" ht="16" x14ac:dyDescent="0.2">
      <c r="A17" s="31" t="s">
        <v>114</v>
      </c>
    </row>
    <row r="18" spans="1:2" x14ac:dyDescent="0.2">
      <c r="A18" s="2" t="s">
        <v>115</v>
      </c>
      <c r="B18" s="32" t="s">
        <v>116</v>
      </c>
    </row>
    <row r="19" spans="1:2" x14ac:dyDescent="0.2">
      <c r="A19" s="2" t="s">
        <v>117</v>
      </c>
      <c r="B19" s="32" t="s">
        <v>71</v>
      </c>
    </row>
    <row r="20" spans="1:2" x14ac:dyDescent="0.2">
      <c r="A20" s="2" t="s">
        <v>118</v>
      </c>
      <c r="B20" s="32" t="s">
        <v>119</v>
      </c>
    </row>
    <row r="21" spans="1:2" ht="15.75" customHeight="1" x14ac:dyDescent="0.2">
      <c r="A21" s="2" t="s">
        <v>120</v>
      </c>
      <c r="B21" s="3" t="str">
        <f>TEXT(B3,"dd mmm yyyy")&amp;" s/d "&amp;TEXT(B4,"dd mmm yyyy")</f>
        <v>01 Sep 2025 s/d 12 Sep 2025</v>
      </c>
    </row>
    <row r="22" spans="1:2" ht="15.75" customHeight="1" x14ac:dyDescent="0.2"/>
    <row r="23" spans="1:2" ht="15.75" customHeight="1" x14ac:dyDescent="0.2">
      <c r="A23" s="2" t="s">
        <v>47</v>
      </c>
    </row>
    <row r="24" spans="1:2" ht="15.75" customHeight="1" x14ac:dyDescent="0.2">
      <c r="A24" s="13" t="s">
        <v>121</v>
      </c>
    </row>
    <row r="25" spans="1:2" ht="15.75" customHeight="1" x14ac:dyDescent="0.2">
      <c r="A25" s="13" t="s">
        <v>122</v>
      </c>
    </row>
    <row r="26" spans="1:2" ht="15.75" customHeight="1" x14ac:dyDescent="0.2">
      <c r="A26" s="13" t="s">
        <v>123</v>
      </c>
    </row>
    <row r="27" spans="1:2" ht="15.75" customHeight="1" x14ac:dyDescent="0.2">
      <c r="A27" s="13" t="s">
        <v>124</v>
      </c>
    </row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E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4.5" defaultRowHeight="15" customHeight="1" x14ac:dyDescent="0.2"/>
  <cols>
    <col min="1" max="1" width="14" customWidth="1"/>
    <col min="2" max="4" width="22" customWidth="1"/>
    <col min="5" max="5" width="28" customWidth="1"/>
    <col min="6" max="26" width="8.83203125" customWidth="1"/>
  </cols>
  <sheetData>
    <row r="1" spans="1:5" ht="31.5" customHeight="1" x14ac:dyDescent="0.2">
      <c r="A1" s="33" t="s">
        <v>125</v>
      </c>
      <c r="B1" s="34"/>
      <c r="C1" s="34"/>
      <c r="D1" s="34"/>
      <c r="E1" s="34"/>
    </row>
    <row r="2" spans="1:5" ht="19.5" customHeight="1" x14ac:dyDescent="0.2">
      <c r="A2" s="1" t="s">
        <v>126</v>
      </c>
    </row>
    <row r="3" spans="1:5" ht="16" x14ac:dyDescent="0.2">
      <c r="A3" s="17" t="s">
        <v>55</v>
      </c>
      <c r="B3" s="17" t="s">
        <v>127</v>
      </c>
      <c r="C3" s="17" t="s">
        <v>128</v>
      </c>
      <c r="D3" s="17" t="s">
        <v>129</v>
      </c>
      <c r="E3" s="17" t="s">
        <v>130</v>
      </c>
    </row>
    <row r="4" spans="1:5" x14ac:dyDescent="0.2">
      <c r="A4" s="20">
        <f>IF(Pengaturan!$B$3+0&gt;Pengaturan!$B$4,"",Pengaturan!$B$3+0)</f>
        <v>45901</v>
      </c>
      <c r="B4" s="21">
        <v>28234000</v>
      </c>
      <c r="C4" s="21">
        <v>12527500</v>
      </c>
      <c r="D4" s="22">
        <f t="shared" ref="D4:D34" si="0">IF(A4="","",B4+C4)</f>
        <v>40761500</v>
      </c>
    </row>
    <row r="5" spans="1:5" x14ac:dyDescent="0.2">
      <c r="A5" s="20">
        <f>IF(Pengaturan!$B$3+1&gt;Pengaturan!$B$4,"",Pengaturan!$B$3+1)</f>
        <v>45902</v>
      </c>
      <c r="B5" s="21">
        <v>28234000</v>
      </c>
      <c r="C5" s="21">
        <v>12527500</v>
      </c>
      <c r="D5" s="22">
        <f t="shared" si="0"/>
        <v>40761500</v>
      </c>
    </row>
    <row r="6" spans="1:5" x14ac:dyDescent="0.2">
      <c r="A6" s="20">
        <f>IF(Pengaturan!$B$3+2&gt;Pengaturan!$B$4,"",Pengaturan!$B$3+2)</f>
        <v>45903</v>
      </c>
      <c r="B6" s="21">
        <v>28234000</v>
      </c>
      <c r="C6" s="21">
        <v>12527500</v>
      </c>
      <c r="D6" s="22">
        <f t="shared" si="0"/>
        <v>40761500</v>
      </c>
    </row>
    <row r="7" spans="1:5" x14ac:dyDescent="0.2">
      <c r="A7" s="20">
        <f>IF(Pengaturan!$B$3+3&gt;Pengaturan!$B$4,"",Pengaturan!$B$3+3)</f>
        <v>45904</v>
      </c>
      <c r="B7" s="21">
        <v>28234000</v>
      </c>
      <c r="C7" s="21">
        <v>12527500</v>
      </c>
      <c r="D7" s="22">
        <f t="shared" si="0"/>
        <v>40761500</v>
      </c>
    </row>
    <row r="8" spans="1:5" x14ac:dyDescent="0.2">
      <c r="A8" s="20">
        <f>IF(Pengaturan!$B$3+4&gt;Pengaturan!$B$4,"",Pengaturan!$B$3+4)</f>
        <v>45905</v>
      </c>
      <c r="B8" s="21">
        <v>28234000</v>
      </c>
      <c r="C8" s="21">
        <v>12527500</v>
      </c>
      <c r="D8" s="22">
        <f t="shared" si="0"/>
        <v>40761500</v>
      </c>
    </row>
    <row r="9" spans="1:5" x14ac:dyDescent="0.2">
      <c r="A9" s="20">
        <f>IF(Pengaturan!$B$3+5&gt;Pengaturan!$B$4,"",Pengaturan!$B$3+5)</f>
        <v>45906</v>
      </c>
      <c r="B9" s="21">
        <v>28234000</v>
      </c>
      <c r="C9" s="21">
        <v>12527500</v>
      </c>
      <c r="D9" s="22">
        <f t="shared" si="0"/>
        <v>40761500</v>
      </c>
    </row>
    <row r="10" spans="1:5" x14ac:dyDescent="0.2">
      <c r="A10" s="20">
        <f>IF(Pengaturan!$B$3+6&gt;Pengaturan!$B$4,"",Pengaturan!$B$3+6)</f>
        <v>45907</v>
      </c>
      <c r="B10" s="21">
        <v>28234000</v>
      </c>
      <c r="C10" s="21">
        <v>12527500</v>
      </c>
      <c r="D10" s="22">
        <f t="shared" si="0"/>
        <v>40761500</v>
      </c>
    </row>
    <row r="11" spans="1:5" x14ac:dyDescent="0.2">
      <c r="A11" s="20">
        <f>IF(Pengaturan!$B$3+7&gt;Pengaturan!$B$4,"",Pengaturan!$B$3+7)</f>
        <v>45908</v>
      </c>
      <c r="B11" s="21">
        <v>28234000</v>
      </c>
      <c r="C11" s="21">
        <v>12527500</v>
      </c>
      <c r="D11" s="22">
        <f t="shared" si="0"/>
        <v>40761500</v>
      </c>
    </row>
    <row r="12" spans="1:5" x14ac:dyDescent="0.2">
      <c r="A12" s="20">
        <f>IF(Pengaturan!$B$3+8&gt;Pengaturan!$B$4,"",Pengaturan!$B$3+8)</f>
        <v>45909</v>
      </c>
      <c r="B12" s="21">
        <v>28234000</v>
      </c>
      <c r="C12" s="21">
        <v>12527500</v>
      </c>
      <c r="D12" s="22">
        <f t="shared" si="0"/>
        <v>40761500</v>
      </c>
    </row>
    <row r="13" spans="1:5" x14ac:dyDescent="0.2">
      <c r="A13" s="20">
        <f>IF(Pengaturan!$B$3+9&gt;Pengaturan!$B$4,"",Pengaturan!$B$3+9)</f>
        <v>45910</v>
      </c>
      <c r="B13" s="21">
        <v>28234000</v>
      </c>
      <c r="C13" s="21">
        <v>12527500</v>
      </c>
      <c r="D13" s="22">
        <f t="shared" si="0"/>
        <v>40761500</v>
      </c>
    </row>
    <row r="14" spans="1:5" x14ac:dyDescent="0.2">
      <c r="A14" s="20">
        <f>IF(Pengaturan!$B$3+10&gt;Pengaturan!$B$4,"",Pengaturan!$B$3+10)</f>
        <v>45911</v>
      </c>
      <c r="B14" s="21">
        <v>28234000</v>
      </c>
      <c r="C14" s="21">
        <v>12527500</v>
      </c>
      <c r="D14" s="22">
        <f t="shared" si="0"/>
        <v>40761500</v>
      </c>
    </row>
    <row r="15" spans="1:5" x14ac:dyDescent="0.2">
      <c r="A15" s="20">
        <f>IF(Pengaturan!$B$3+11&gt;Pengaturan!$B$4,"",Pengaturan!$B$3+11)</f>
        <v>45912</v>
      </c>
      <c r="B15" s="21">
        <v>28234000</v>
      </c>
      <c r="C15" s="21">
        <v>12527500</v>
      </c>
      <c r="D15" s="22">
        <f t="shared" si="0"/>
        <v>40761500</v>
      </c>
    </row>
    <row r="16" spans="1:5" x14ac:dyDescent="0.2">
      <c r="A16" s="20" t="str">
        <f>IF(Pengaturan!$B$3+12&gt;Pengaturan!$B$4,"",Pengaturan!$B$3+12)</f>
        <v/>
      </c>
      <c r="B16" s="21" t="str">
        <f>IF(A16="","",Pengaturan!$B$13)</f>
        <v/>
      </c>
      <c r="C16" s="21" t="str">
        <f>IF(A16="","",Pengaturan!$B$14)</f>
        <v/>
      </c>
      <c r="D16" s="22" t="str">
        <f t="shared" si="0"/>
        <v/>
      </c>
    </row>
    <row r="17" spans="1:4" x14ac:dyDescent="0.2">
      <c r="A17" s="20" t="str">
        <f>IF(Pengaturan!$B$3+13&gt;Pengaturan!$B$4,"",Pengaturan!$B$3+13)</f>
        <v/>
      </c>
      <c r="B17" s="21" t="str">
        <f>IF(A17="","",Pengaturan!$B$13)</f>
        <v/>
      </c>
      <c r="C17" s="21" t="str">
        <f>IF(A17="","",Pengaturan!$B$14)</f>
        <v/>
      </c>
      <c r="D17" s="22" t="str">
        <f t="shared" si="0"/>
        <v/>
      </c>
    </row>
    <row r="18" spans="1:4" x14ac:dyDescent="0.2">
      <c r="A18" s="20" t="str">
        <f>IF(Pengaturan!$B$3+14&gt;Pengaturan!$B$4,"",Pengaturan!$B$3+14)</f>
        <v/>
      </c>
      <c r="B18" s="21" t="str">
        <f>IF(A18="","",Pengaturan!$B$13)</f>
        <v/>
      </c>
      <c r="C18" s="21" t="str">
        <f>IF(A18="","",Pengaturan!$B$14)</f>
        <v/>
      </c>
      <c r="D18" s="22" t="str">
        <f t="shared" si="0"/>
        <v/>
      </c>
    </row>
    <row r="19" spans="1:4" x14ac:dyDescent="0.2">
      <c r="A19" s="20" t="str">
        <f>IF(Pengaturan!$B$3+15&gt;Pengaturan!$B$4,"",Pengaturan!$B$3+15)</f>
        <v/>
      </c>
      <c r="B19" s="21" t="str">
        <f>IF(A19="","",Pengaturan!$B$13)</f>
        <v/>
      </c>
      <c r="C19" s="21" t="str">
        <f>IF(A19="","",Pengaturan!$B$14)</f>
        <v/>
      </c>
      <c r="D19" s="22" t="str">
        <f t="shared" si="0"/>
        <v/>
      </c>
    </row>
    <row r="20" spans="1:4" x14ac:dyDescent="0.2">
      <c r="A20" s="20" t="str">
        <f>IF(Pengaturan!$B$3+16&gt;Pengaturan!$B$4,"",Pengaturan!$B$3+16)</f>
        <v/>
      </c>
      <c r="B20" s="21" t="str">
        <f>IF(A20="","",Pengaturan!$B$13)</f>
        <v/>
      </c>
      <c r="C20" s="21" t="str">
        <f>IF(A20="","",Pengaturan!$B$14)</f>
        <v/>
      </c>
      <c r="D20" s="22" t="str">
        <f t="shared" si="0"/>
        <v/>
      </c>
    </row>
    <row r="21" spans="1:4" ht="15.75" customHeight="1" x14ac:dyDescent="0.2">
      <c r="A21" s="20" t="str">
        <f>IF(Pengaturan!$B$3+17&gt;Pengaturan!$B$4,"",Pengaturan!$B$3+17)</f>
        <v/>
      </c>
      <c r="B21" s="21" t="str">
        <f>IF(A21="","",Pengaturan!$B$13)</f>
        <v/>
      </c>
      <c r="C21" s="21" t="str">
        <f>IF(A21="","",Pengaturan!$B$14)</f>
        <v/>
      </c>
      <c r="D21" s="22" t="str">
        <f t="shared" si="0"/>
        <v/>
      </c>
    </row>
    <row r="22" spans="1:4" ht="15.75" customHeight="1" x14ac:dyDescent="0.2">
      <c r="A22" s="20" t="str">
        <f>IF(Pengaturan!$B$3+18&gt;Pengaturan!$B$4,"",Pengaturan!$B$3+18)</f>
        <v/>
      </c>
      <c r="B22" s="21" t="str">
        <f>IF(A22="","",Pengaturan!$B$13)</f>
        <v/>
      </c>
      <c r="C22" s="21" t="str">
        <f>IF(A22="","",Pengaturan!$B$14)</f>
        <v/>
      </c>
      <c r="D22" s="22" t="str">
        <f t="shared" si="0"/>
        <v/>
      </c>
    </row>
    <row r="23" spans="1:4" ht="15.75" customHeight="1" x14ac:dyDescent="0.2">
      <c r="A23" s="20" t="str">
        <f>IF(Pengaturan!$B$3+19&gt;Pengaturan!$B$4,"",Pengaturan!$B$3+19)</f>
        <v/>
      </c>
      <c r="B23" s="21" t="str">
        <f>IF(A23="","",Pengaturan!$B$13)</f>
        <v/>
      </c>
      <c r="C23" s="21" t="str">
        <f>IF(A23="","",Pengaturan!$B$14)</f>
        <v/>
      </c>
      <c r="D23" s="22" t="str">
        <f t="shared" si="0"/>
        <v/>
      </c>
    </row>
    <row r="24" spans="1:4" ht="15.75" customHeight="1" x14ac:dyDescent="0.2">
      <c r="A24" s="20" t="str">
        <f>IF(Pengaturan!$B$3+20&gt;Pengaturan!$B$4,"",Pengaturan!$B$3+20)</f>
        <v/>
      </c>
      <c r="B24" s="21" t="str">
        <f>IF(A24="","",Pengaturan!$B$13)</f>
        <v/>
      </c>
      <c r="C24" s="21" t="str">
        <f>IF(A24="","",Pengaturan!$B$14)</f>
        <v/>
      </c>
      <c r="D24" s="22" t="str">
        <f t="shared" si="0"/>
        <v/>
      </c>
    </row>
    <row r="25" spans="1:4" ht="15.75" customHeight="1" x14ac:dyDescent="0.2">
      <c r="A25" s="20" t="str">
        <f>IF(Pengaturan!$B$3+21&gt;Pengaturan!$B$4,"",Pengaturan!$B$3+21)</f>
        <v/>
      </c>
      <c r="B25" s="21" t="str">
        <f>IF(A25="","",Pengaturan!$B$13)</f>
        <v/>
      </c>
      <c r="C25" s="21" t="str">
        <f>IF(A25="","",Pengaturan!$B$14)</f>
        <v/>
      </c>
      <c r="D25" s="22" t="str">
        <f t="shared" si="0"/>
        <v/>
      </c>
    </row>
    <row r="26" spans="1:4" ht="15.75" customHeight="1" x14ac:dyDescent="0.2">
      <c r="A26" s="20" t="str">
        <f>IF(Pengaturan!$B$3+22&gt;Pengaturan!$B$4,"",Pengaturan!$B$3+22)</f>
        <v/>
      </c>
      <c r="B26" s="21" t="str">
        <f>IF(A26="","",Pengaturan!$B$13)</f>
        <v/>
      </c>
      <c r="C26" s="21" t="str">
        <f>IF(A26="","",Pengaturan!$B$14)</f>
        <v/>
      </c>
      <c r="D26" s="22" t="str">
        <f t="shared" si="0"/>
        <v/>
      </c>
    </row>
    <row r="27" spans="1:4" ht="15.75" customHeight="1" x14ac:dyDescent="0.2">
      <c r="A27" s="20" t="str">
        <f>IF(Pengaturan!$B$3+23&gt;Pengaturan!$B$4,"",Pengaturan!$B$3+23)</f>
        <v/>
      </c>
      <c r="B27" s="21" t="str">
        <f>IF(A27="","",Pengaturan!$B$13)</f>
        <v/>
      </c>
      <c r="C27" s="21" t="str">
        <f>IF(A27="","",Pengaturan!$B$14)</f>
        <v/>
      </c>
      <c r="D27" s="22" t="str">
        <f t="shared" si="0"/>
        <v/>
      </c>
    </row>
    <row r="28" spans="1:4" ht="15.75" customHeight="1" x14ac:dyDescent="0.2">
      <c r="A28" s="20" t="str">
        <f>IF(Pengaturan!$B$3+24&gt;Pengaturan!$B$4,"",Pengaturan!$B$3+24)</f>
        <v/>
      </c>
      <c r="B28" s="21" t="str">
        <f>IF(A28="","",Pengaturan!$B$13)</f>
        <v/>
      </c>
      <c r="C28" s="21" t="str">
        <f>IF(A28="","",Pengaturan!$B$14)</f>
        <v/>
      </c>
      <c r="D28" s="22" t="str">
        <f t="shared" si="0"/>
        <v/>
      </c>
    </row>
    <row r="29" spans="1:4" ht="15.75" customHeight="1" x14ac:dyDescent="0.2">
      <c r="A29" s="20" t="str">
        <f>IF(Pengaturan!$B$3+25&gt;Pengaturan!$B$4,"",Pengaturan!$B$3+25)</f>
        <v/>
      </c>
      <c r="B29" s="21" t="str">
        <f>IF(A29="","",Pengaturan!$B$13)</f>
        <v/>
      </c>
      <c r="C29" s="21" t="str">
        <f>IF(A29="","",Pengaturan!$B$14)</f>
        <v/>
      </c>
      <c r="D29" s="22" t="str">
        <f t="shared" si="0"/>
        <v/>
      </c>
    </row>
    <row r="30" spans="1:4" ht="15.75" customHeight="1" x14ac:dyDescent="0.2">
      <c r="A30" s="20" t="str">
        <f>IF(Pengaturan!$B$3+26&gt;Pengaturan!$B$4,"",Pengaturan!$B$3+26)</f>
        <v/>
      </c>
      <c r="B30" s="21" t="str">
        <f>IF(A30="","",Pengaturan!$B$13)</f>
        <v/>
      </c>
      <c r="C30" s="21" t="str">
        <f>IF(A30="","",Pengaturan!$B$14)</f>
        <v/>
      </c>
      <c r="D30" s="22" t="str">
        <f t="shared" si="0"/>
        <v/>
      </c>
    </row>
    <row r="31" spans="1:4" ht="15.75" customHeight="1" x14ac:dyDescent="0.2">
      <c r="A31" s="20" t="str">
        <f>IF(Pengaturan!$B$3+27&gt;Pengaturan!$B$4,"",Pengaturan!$B$3+27)</f>
        <v/>
      </c>
      <c r="B31" s="21" t="str">
        <f>IF(A31="","",Pengaturan!$B$13)</f>
        <v/>
      </c>
      <c r="C31" s="21" t="str">
        <f>IF(A31="","",Pengaturan!$B$14)</f>
        <v/>
      </c>
      <c r="D31" s="22" t="str">
        <f t="shared" si="0"/>
        <v/>
      </c>
    </row>
    <row r="32" spans="1:4" ht="15.75" customHeight="1" x14ac:dyDescent="0.2">
      <c r="A32" s="20" t="str">
        <f>IF(Pengaturan!$B$3+28&gt;Pengaturan!$B$4,"",Pengaturan!$B$3+28)</f>
        <v/>
      </c>
      <c r="B32" s="21" t="str">
        <f>IF(A32="","",Pengaturan!$B$13)</f>
        <v/>
      </c>
      <c r="C32" s="21" t="str">
        <f>IF(A32="","",Pengaturan!$B$14)</f>
        <v/>
      </c>
      <c r="D32" s="22" t="str">
        <f t="shared" si="0"/>
        <v/>
      </c>
    </row>
    <row r="33" spans="1:4" ht="15.75" customHeight="1" x14ac:dyDescent="0.2">
      <c r="A33" s="20" t="str">
        <f>IF(Pengaturan!$B$3+29&gt;Pengaturan!$B$4,"",Pengaturan!$B$3+29)</f>
        <v/>
      </c>
      <c r="B33" s="21" t="str">
        <f>IF(A33="","",Pengaturan!$B$13)</f>
        <v/>
      </c>
      <c r="C33" s="21" t="str">
        <f>IF(A33="","",Pengaturan!$B$14)</f>
        <v/>
      </c>
      <c r="D33" s="22" t="str">
        <f t="shared" si="0"/>
        <v/>
      </c>
    </row>
    <row r="34" spans="1:4" ht="15.75" customHeight="1" x14ac:dyDescent="0.2">
      <c r="A34" s="20" t="str">
        <f>IF(Pengaturan!$B$3+30&gt;Pengaturan!$B$4,"",Pengaturan!$B$3+30)</f>
        <v/>
      </c>
      <c r="B34" s="21" t="str">
        <f>IF(A34="","",Pengaturan!$B$13)</f>
        <v/>
      </c>
      <c r="C34" s="21" t="str">
        <f>IF(A34="","",Pengaturan!$B$14)</f>
        <v/>
      </c>
      <c r="D34" s="22" t="str">
        <f t="shared" si="0"/>
        <v/>
      </c>
    </row>
    <row r="35" spans="1:4" ht="15.75" customHeight="1" x14ac:dyDescent="0.2"/>
    <row r="36" spans="1:4" ht="15.75" customHeight="1" x14ac:dyDescent="0.2">
      <c r="A36" s="28" t="s">
        <v>74</v>
      </c>
      <c r="B36" s="18">
        <f t="shared" ref="B36:D36" si="1">SUM(B4:B34)</f>
        <v>338808000</v>
      </c>
      <c r="C36" s="18">
        <f t="shared" si="1"/>
        <v>150330000</v>
      </c>
      <c r="D36" s="18">
        <f t="shared" si="1"/>
        <v>489138000</v>
      </c>
    </row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E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B1000"/>
  <sheetViews>
    <sheetView workbookViewId="0"/>
  </sheetViews>
  <sheetFormatPr baseColWidth="10" defaultColWidth="14.5" defaultRowHeight="15" customHeight="1" x14ac:dyDescent="0.2"/>
  <cols>
    <col min="1" max="2" width="28" customWidth="1"/>
    <col min="3" max="26" width="8.83203125" customWidth="1"/>
  </cols>
  <sheetData>
    <row r="1" spans="1:2" ht="31.5" customHeight="1" x14ac:dyDescent="0.2">
      <c r="A1" s="33" t="s">
        <v>131</v>
      </c>
      <c r="B1" s="34"/>
    </row>
    <row r="2" spans="1:2" ht="19.5" customHeight="1" x14ac:dyDescent="0.2">
      <c r="A2" s="1" t="s">
        <v>132</v>
      </c>
    </row>
    <row r="3" spans="1:2" ht="16" x14ac:dyDescent="0.2">
      <c r="A3" s="17" t="s">
        <v>133</v>
      </c>
      <c r="B3" s="17" t="s">
        <v>134</v>
      </c>
    </row>
    <row r="4" spans="1:2" x14ac:dyDescent="0.2">
      <c r="A4" s="24" t="s">
        <v>135</v>
      </c>
      <c r="B4" s="24" t="s">
        <v>136</v>
      </c>
    </row>
    <row r="5" spans="1:2" x14ac:dyDescent="0.2">
      <c r="A5" s="24" t="s">
        <v>137</v>
      </c>
      <c r="B5" s="24" t="s">
        <v>138</v>
      </c>
    </row>
    <row r="6" spans="1:2" x14ac:dyDescent="0.2">
      <c r="A6" s="24" t="s">
        <v>139</v>
      </c>
      <c r="B6" s="24" t="s">
        <v>140</v>
      </c>
    </row>
    <row r="7" spans="1:2" x14ac:dyDescent="0.2">
      <c r="A7" s="24" t="s">
        <v>141</v>
      </c>
      <c r="B7" s="24" t="s">
        <v>142</v>
      </c>
    </row>
    <row r="8" spans="1:2" x14ac:dyDescent="0.2">
      <c r="A8" s="24" t="s">
        <v>143</v>
      </c>
      <c r="B8" s="24" t="s">
        <v>144</v>
      </c>
    </row>
    <row r="9" spans="1:2" x14ac:dyDescent="0.2">
      <c r="A9" s="24" t="s">
        <v>145</v>
      </c>
      <c r="B9" s="24" t="s">
        <v>146</v>
      </c>
    </row>
    <row r="10" spans="1:2" x14ac:dyDescent="0.2">
      <c r="A10" s="24" t="s">
        <v>147</v>
      </c>
      <c r="B10" s="24" t="s">
        <v>148</v>
      </c>
    </row>
    <row r="11" spans="1:2" x14ac:dyDescent="0.2">
      <c r="A11" s="24" t="s">
        <v>149</v>
      </c>
      <c r="B11" s="24" t="s">
        <v>150</v>
      </c>
    </row>
    <row r="12" spans="1:2" x14ac:dyDescent="0.2">
      <c r="A12" s="24" t="s">
        <v>151</v>
      </c>
      <c r="B12" s="24" t="s">
        <v>152</v>
      </c>
    </row>
    <row r="13" spans="1:2" x14ac:dyDescent="0.2">
      <c r="B13" s="24" t="s">
        <v>151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Dashboard</vt:lpstr>
      <vt:lpstr>Rekap Harian</vt:lpstr>
      <vt:lpstr>Rekap Mingguan</vt:lpstr>
      <vt:lpstr>Grafik</vt:lpstr>
      <vt:lpstr>Pengaturan</vt:lpstr>
      <vt:lpstr>Pagu Harian</vt:lpstr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Alfiansah</cp:lastModifiedBy>
  <dcterms:created xsi:type="dcterms:W3CDTF">2026-05-10T21:51:14Z</dcterms:created>
  <dcterms:modified xsi:type="dcterms:W3CDTF">2026-05-13T03:08:51Z</dcterms:modified>
</cp:coreProperties>
</file>